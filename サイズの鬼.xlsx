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まほう" sheetId="1" r:id="rId4"/>
    <sheet state="visible" name="シート4" sheetId="2" r:id="rId5"/>
    <sheet state="visible" name="パンツゲージ" sheetId="3" r:id="rId6"/>
    <sheet state="visible" name="ジャケットゲージ" sheetId="4" r:id="rId7"/>
  </sheets>
  <definedNames/>
  <calcPr/>
</workbook>
</file>

<file path=xl/sharedStrings.xml><?xml version="1.0" encoding="utf-8"?>
<sst xmlns="http://schemas.openxmlformats.org/spreadsheetml/2006/main" count="274" uniqueCount="167">
  <si>
    <t>入力値</t>
  </si>
  <si>
    <t>基準値（予測）</t>
  </si>
  <si>
    <t>差</t>
  </si>
  <si>
    <t>単位</t>
  </si>
  <si>
    <t>身長</t>
  </si>
  <si>
    <t>cm</t>
  </si>
  <si>
    <t>体重</t>
  </si>
  <si>
    <t>kg</t>
  </si>
  <si>
    <t>首回り</t>
  </si>
  <si>
    <t>肩幅</t>
  </si>
  <si>
    <t>裄丈</t>
  </si>
  <si>
    <t>手首回り</t>
  </si>
  <si>
    <t>バスト</t>
  </si>
  <si>
    <t>ウエスト</t>
  </si>
  <si>
    <t>パンツウエスト</t>
  </si>
  <si>
    <t>ヒップ</t>
  </si>
  <si>
    <t>太ももまわり</t>
  </si>
  <si>
    <t>膝回り</t>
  </si>
  <si>
    <t>ふくらはぎ</t>
  </si>
  <si>
    <t>出力項目</t>
  </si>
  <si>
    <t>推奨サイズ</t>
  </si>
  <si>
    <t>Y-14</t>
  </si>
  <si>
    <t>変更差</t>
  </si>
  <si>
    <t>股上</t>
  </si>
  <si>
    <t>股下</t>
  </si>
  <si>
    <t>渡り幅</t>
  </si>
  <si>
    <t>膝幅</t>
  </si>
  <si>
    <t>裾口幅</t>
  </si>
  <si>
    <t>YA-13</t>
  </si>
  <si>
    <t>袖丈</t>
  </si>
  <si>
    <t>着丈</t>
  </si>
  <si>
    <t>パンツウエスト	=6.5979 + (0.0049*身長) + (0.1117*体重) + (0.0434*首回り) + (0.0128*肩幅) + (0.0294*裄丈) + (-0.063*手首回り) + (-0.05*バスト) + (0.1115*ウエスト) + (0.4557*パンツウエスト) + (0.21*ヒップ) + (0.0158*太ももまわり) + (0.0375*膝回り) + (0.0081*ふくらはぎ)
股上	=9.7012 + (0.0136*身長) + (0.0141*体重) + (0.0082*首回り) + (0.0046*肩幅) + (-0.0066*裄丈) + (0.045*手首回り) + (-0.0085*バスト) + (0.0208*ウエスト) + (0.0394*パンツウエスト) + (0.0374*ヒップ) + (0.0155*太ももまわり) + (0.0065*膝回り) + (0.0019*ふくらはぎ)
股下	=-15.9887 + (0.4936*身長) + (-0.0463*体重) + (-0.0801*首回り) + (-0.1339*肩幅) + (0.3228*裄丈) + (-0.1143*手首回り) + (-0.0207*バスト) + (0.0151*ウエスト) + (-0.0065*パンツウエスト) + (-0.0332*ヒップ) + (-0.0693*太ももまわり) + (-0.006*膝回り) + (0.0219*ふくらはぎ)
渡り幅	=7.8622 + (-0.0006*身長) + (0.0453*体重) + (0.0051*首回り) + (0.005*肩幅) + (0.0077*裄丈) + (0.0092*手首回り) + (-0.0114*バスト) + (0.0223*ウエスト) + (0.0883*パンツウエスト) + (0.0838*ヒップ) + (0.0496*太ももまわり) + (0.0286*膝回り) + (0.0386*ふくらはぎ)
膝回り	=7.3394 + (0.004*身長) + (0.0315*体重) + (-0.0058*首回り) + (0.0091*肩幅) + (0.001*裄丈) + (0.0247*手首回り) + (-0.0065*バスト) + (0.0094*ウエスト) + (0.0473*パンツウエスト) + (0.0389*ヒップ) + (0.0122*太ももまわり) + (0.0266*膝回り) + (0.0709*ふくらはぎ)
裾口幅	=7.2372 + (0.0048*身長) + (0.0181*体重) + (-0.0024*首回り) + (0.0071*肩幅) + (0.0032*裄丈) + (0.049*手首回り) + (-0.0095*バスト) + (0.0144*ウエスト) + (0.0386*パンツウエスト) + (0.0216*ヒップ) + (-0.0082*太ももまわり) + (0.0123*膝回り) + (0.0674*ふくらはぎ)</t>
  </si>
  <si>
    <t>号数</t>
  </si>
  <si>
    <t>ゲージ
◉=有り</t>
  </si>
  <si>
    <t>パターン</t>
  </si>
  <si>
    <t>ヒップ仕上がり寸</t>
  </si>
  <si>
    <t>渡り上り寸法</t>
  </si>
  <si>
    <t>ヒザ上り寸法</t>
  </si>
  <si>
    <t>裾口</t>
  </si>
  <si>
    <t>ヒップトリ寸</t>
  </si>
  <si>
    <t>標準</t>
  </si>
  <si>
    <t>限界</t>
  </si>
  <si>
    <t>タック無し</t>
  </si>
  <si>
    <t>MIN</t>
  </si>
  <si>
    <t>MAX</t>
  </si>
  <si>
    <t>◉</t>
  </si>
  <si>
    <t>Y-1</t>
  </si>
  <si>
    <t>62〜70</t>
  </si>
  <si>
    <t>16〜24</t>
  </si>
  <si>
    <t>Y-2</t>
  </si>
  <si>
    <t>64〜72</t>
  </si>
  <si>
    <t>Y-3</t>
  </si>
  <si>
    <t>66〜74</t>
  </si>
  <si>
    <t>16.5〜24.5</t>
  </si>
  <si>
    <t>Y-4</t>
  </si>
  <si>
    <t>68〜76</t>
  </si>
  <si>
    <t>17〜25</t>
  </si>
  <si>
    <t>Y-5</t>
  </si>
  <si>
    <t>70〜78</t>
  </si>
  <si>
    <t>Y-6</t>
  </si>
  <si>
    <t>72〜80</t>
  </si>
  <si>
    <t>17.5〜25.5</t>
  </si>
  <si>
    <t>Y-7</t>
  </si>
  <si>
    <t>74〜82</t>
  </si>
  <si>
    <t>18〜26</t>
  </si>
  <si>
    <t>Y-8</t>
  </si>
  <si>
    <t>76〜84</t>
  </si>
  <si>
    <t>Y-9</t>
  </si>
  <si>
    <t>78〜86</t>
  </si>
  <si>
    <t>18.5〜26.5</t>
  </si>
  <si>
    <t>Y-10</t>
  </si>
  <si>
    <t>80〜88</t>
  </si>
  <si>
    <t>Y-11</t>
  </si>
  <si>
    <t>82〜90</t>
  </si>
  <si>
    <t>19〜27</t>
  </si>
  <si>
    <t>Y-12</t>
  </si>
  <si>
    <t>84〜92</t>
  </si>
  <si>
    <t>Y-13</t>
  </si>
  <si>
    <t>86〜94</t>
  </si>
  <si>
    <t>19.5〜27.5</t>
  </si>
  <si>
    <t>88〜96</t>
  </si>
  <si>
    <t>Y-15</t>
  </si>
  <si>
    <t>90〜98</t>
  </si>
  <si>
    <t>20〜28</t>
  </si>
  <si>
    <t>Y-16</t>
  </si>
  <si>
    <t>92〜100</t>
  </si>
  <si>
    <t>20.5〜28.5</t>
  </si>
  <si>
    <t>Y-17</t>
  </si>
  <si>
    <t>94〜102</t>
  </si>
  <si>
    <t>21〜29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</si>
  <si>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</si>
  <si>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</si>
  <si>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</si>
  <si>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</si>
  <si>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</si>
  <si>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</si>
  <si>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</si>
  <si>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</si>
  <si>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</si>
  <si>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</si>
  <si>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</si>
  <si>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96〜104</t>
  </si>
  <si>
    <t>B-12</t>
  </si>
  <si>
    <t>98〜106</t>
  </si>
  <si>
    <t>B-13</t>
  </si>
  <si>
    <t>100〜108</t>
  </si>
  <si>
    <t>21.5〜29.5</t>
  </si>
  <si>
    <t>B-14</t>
  </si>
  <si>
    <t>102〜110</t>
  </si>
  <si>
    <t>B-15</t>
  </si>
  <si>
    <t>104〜112</t>
  </si>
  <si>
    <t>22〜30</t>
  </si>
  <si>
    <t>B-16</t>
  </si>
  <si>
    <t>106〜114</t>
  </si>
  <si>
    <t>B-17</t>
  </si>
  <si>
    <t>108〜116</t>
  </si>
  <si>
    <t>22.5〜30.5</t>
  </si>
  <si>
    <t>B-18</t>
  </si>
  <si>
    <t>110〜118</t>
  </si>
  <si>
    <t>23〜31</t>
  </si>
  <si>
    <t>B-19</t>
  </si>
  <si>
    <t>112〜120</t>
  </si>
  <si>
    <t>23.5〜31.5</t>
  </si>
  <si>
    <t>B-20</t>
  </si>
  <si>
    <t>114〜122</t>
  </si>
  <si>
    <t>24〜32</t>
  </si>
  <si>
    <t>タグ表示</t>
  </si>
  <si>
    <t>No.</t>
  </si>
  <si>
    <t>バスト上がり</t>
  </si>
  <si>
    <t>ウエスト上がり</t>
  </si>
  <si>
    <t>肩巾</t>
  </si>
  <si>
    <t>着丈基準値</t>
  </si>
  <si>
    <t>袖丈基準値</t>
  </si>
  <si>
    <t>指定袖口巾</t>
  </si>
  <si>
    <t>シングル衿巾</t>
  </si>
  <si>
    <t>ダブル衿巾</t>
  </si>
  <si>
    <t>スリム</t>
  </si>
  <si>
    <t>YA-1</t>
  </si>
  <si>
    <t>YA-2</t>
  </si>
  <si>
    <t>YA-3</t>
  </si>
  <si>
    <t>YA-4</t>
  </si>
  <si>
    <t>YA-5</t>
  </si>
  <si>
    <t>YA-6</t>
  </si>
  <si>
    <t>YA-7</t>
  </si>
  <si>
    <t>YA-8</t>
  </si>
  <si>
    <t>YA-9</t>
  </si>
  <si>
    <t>YA-10</t>
  </si>
  <si>
    <t>YA-11</t>
  </si>
  <si>
    <t>YA-12</t>
  </si>
  <si>
    <t>YA-14</t>
  </si>
  <si>
    <t>YA-15</t>
  </si>
  <si>
    <t>AB-1</t>
  </si>
  <si>
    <t>AB-2</t>
  </si>
  <si>
    <t>AB-3</t>
  </si>
  <si>
    <t>AB-4</t>
  </si>
  <si>
    <t>AB-5</t>
  </si>
  <si>
    <t>AB-6</t>
  </si>
  <si>
    <t>AB-7</t>
  </si>
  <si>
    <t>AB-8</t>
  </si>
  <si>
    <t>AB-9</t>
  </si>
  <si>
    <t>AB-10</t>
  </si>
  <si>
    <t>AB-11</t>
  </si>
  <si>
    <t>AB-12</t>
  </si>
  <si>
    <t>AB-13</t>
  </si>
  <si>
    <t>AB-14</t>
  </si>
  <si>
    <t>AB-15</t>
  </si>
  <si>
    <t>B-22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</si>
</sst>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color rgb="FFF3F3F3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readingOrder="0"/>
    </xf>
    <xf borderId="0" fillId="2" fontId="1" numFmtId="0" xfId="0" applyFont="1"/>
    <xf borderId="0" fillId="2" fontId="1" numFmtId="164" xfId="0" applyFont="1" applyNumberForma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0" xfId="0" applyBorder="1" applyFont="1"/>
    <xf borderId="0" fillId="0" fontId="2" numFmtId="1" xfId="0" applyFont="1" applyNumberFormat="1"/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57"/>
    <col customWidth="1" min="3" max="3" width="10.29"/>
    <col customWidth="1" min="4" max="5" width="8.71"/>
  </cols>
  <sheetData>
    <row r="1">
      <c r="A1" s="1"/>
      <c r="B1" s="2" t="s">
        <v>0</v>
      </c>
      <c r="C1" s="3" t="s">
        <v>1</v>
      </c>
      <c r="D1" s="3" t="s">
        <v>2</v>
      </c>
      <c r="E1" s="2" t="s">
        <v>3</v>
      </c>
    </row>
    <row r="2">
      <c r="A2" s="4" t="s">
        <v>4</v>
      </c>
      <c r="C2" s="5">
        <f>133.0071 + (0.5861 * B3)
</f>
        <v>133.0071</v>
      </c>
      <c r="D2" s="5">
        <f t="shared" ref="D2:D14" si="1">B2-C2</f>
        <v>-133.0071</v>
      </c>
      <c r="E2" s="6" t="s">
        <v>5</v>
      </c>
    </row>
    <row r="3">
      <c r="A3" s="7" t="s">
        <v>6</v>
      </c>
      <c r="B3" s="7"/>
      <c r="C3" s="8">
        <f>20.4586 + (0.2702 * B2)
</f>
        <v>20.4586</v>
      </c>
      <c r="D3" s="8">
        <f t="shared" si="1"/>
        <v>-20.4586</v>
      </c>
      <c r="E3" s="9" t="s">
        <v>7</v>
      </c>
    </row>
    <row r="4">
      <c r="A4" s="4" t="s">
        <v>8</v>
      </c>
      <c r="C4" s="5">
        <f>34.3765 + (-0.0602*B2) + (0.1946*B3)</f>
        <v>34.3765</v>
      </c>
      <c r="D4" s="5">
        <f t="shared" si="1"/>
        <v>-34.3765</v>
      </c>
      <c r="E4" s="6" t="s">
        <v>5</v>
      </c>
    </row>
    <row r="5">
      <c r="A5" s="4" t="s">
        <v>9</v>
      </c>
      <c r="C5" s="5">
        <f>26.3113 + (0.0601*B2) + (0.1215*B3)</f>
        <v>26.3113</v>
      </c>
      <c r="D5" s="5">
        <f t="shared" si="1"/>
        <v>-26.3113</v>
      </c>
      <c r="E5" s="6" t="s">
        <v>5</v>
      </c>
    </row>
    <row r="6">
      <c r="A6" s="4" t="s">
        <v>10</v>
      </c>
      <c r="C6" s="5">
        <f>8.3731 + (0.3883*B2) + (0.0709*B3)</f>
        <v>8.3731</v>
      </c>
      <c r="D6" s="5">
        <f t="shared" si="1"/>
        <v>-8.3731</v>
      </c>
      <c r="E6" s="6" t="s">
        <v>5</v>
      </c>
    </row>
    <row r="7">
      <c r="A7" s="4" t="s">
        <v>11</v>
      </c>
      <c r="C7" s="5">
        <f>11.746 + (0.0017*B2) + (0.0658*B3)</f>
        <v>11.746</v>
      </c>
      <c r="D7" s="5">
        <f t="shared" si="1"/>
        <v>-11.746</v>
      </c>
      <c r="E7" s="6" t="s">
        <v>5</v>
      </c>
    </row>
    <row r="8">
      <c r="A8" s="4" t="s">
        <v>12</v>
      </c>
      <c r="C8" s="5">
        <f>85.9925 + (-0.2084*B2) + (0.6495*B3)</f>
        <v>85.9925</v>
      </c>
      <c r="D8" s="5">
        <f t="shared" si="1"/>
        <v>-85.9925</v>
      </c>
      <c r="E8" s="6" t="s">
        <v>5</v>
      </c>
    </row>
    <row r="9">
      <c r="A9" s="4" t="s">
        <v>13</v>
      </c>
      <c r="C9" s="5">
        <f>94.891 + (-0.3869*B2) + (0.7827*B3)</f>
        <v>94.891</v>
      </c>
      <c r="D9" s="5">
        <f t="shared" si="1"/>
        <v>-94.891</v>
      </c>
      <c r="E9" s="6" t="s">
        <v>5</v>
      </c>
    </row>
    <row r="10">
      <c r="A10" s="4" t="s">
        <v>14</v>
      </c>
      <c r="C10" s="5">
        <f>70.3661 + (-0.192*B2) + (0.677*B3)</f>
        <v>70.3661</v>
      </c>
      <c r="D10" s="5">
        <f t="shared" si="1"/>
        <v>-70.3661</v>
      </c>
      <c r="E10" s="6" t="s">
        <v>5</v>
      </c>
    </row>
    <row r="11">
      <c r="A11" s="4" t="s">
        <v>15</v>
      </c>
      <c r="C11" s="5">
        <f>72.6267 + (-0.0727*B2) + (0.5287*B3)</f>
        <v>72.6267</v>
      </c>
      <c r="D11" s="5">
        <f t="shared" si="1"/>
        <v>-72.6267</v>
      </c>
      <c r="E11" s="6" t="s">
        <v>5</v>
      </c>
    </row>
    <row r="12">
      <c r="A12" s="4" t="s">
        <v>16</v>
      </c>
      <c r="C12" s="5">
        <f>53.1544 + (-0.1385*B2) + (0.3826*B3)</f>
        <v>53.1544</v>
      </c>
      <c r="D12" s="5">
        <f t="shared" si="1"/>
        <v>-53.1544</v>
      </c>
      <c r="E12" s="6" t="s">
        <v>5</v>
      </c>
    </row>
    <row r="13">
      <c r="A13" s="4" t="s">
        <v>17</v>
      </c>
      <c r="C13" s="5">
        <f>27.4387 + (-0.0111*B2) + (0.1754*B3)</f>
        <v>27.4387</v>
      </c>
      <c r="D13" s="5">
        <f t="shared" si="1"/>
        <v>-27.4387</v>
      </c>
      <c r="E13" s="6" t="s">
        <v>5</v>
      </c>
    </row>
    <row r="14">
      <c r="A14" s="4" t="s">
        <v>18</v>
      </c>
      <c r="C14" s="5">
        <f>34.1819 + (-0.0701*B2) + (0.2267*B3)</f>
        <v>34.1819</v>
      </c>
      <c r="D14" s="5">
        <f t="shared" si="1"/>
        <v>-34.1819</v>
      </c>
      <c r="E14" s="6" t="s">
        <v>5</v>
      </c>
    </row>
    <row r="15">
      <c r="C15" s="5"/>
      <c r="D15" s="5"/>
    </row>
    <row r="16">
      <c r="A16" s="6" t="s">
        <v>19</v>
      </c>
      <c r="B16" s="6" t="s">
        <v>20</v>
      </c>
      <c r="C16" s="5"/>
      <c r="D16" s="5"/>
    </row>
    <row r="17">
      <c r="A17" s="4"/>
      <c r="B17" s="10" t="str">
        <f t="array" ref="B17">INDEX('パンツゲージ'!C3:C100,
  MATCH(
    MIN(
      ABS('パンツゲージ'!J3:J100 - B21) + ABS('パンツゲージ'!E3:E100 - B18)
    ),
    ABS('パンツゲージ'!J3:J100 - B21) + ABS('パンツゲージ'!E3:E100 - B18),
    0
  )
)
</f>
        <v/>
      </c>
      <c r="C17" s="11" t="s">
        <v>21</v>
      </c>
      <c r="D17" s="11" t="s">
        <v>22</v>
      </c>
      <c r="E17" s="6" t="str">
        <f>VLOOKUP(B17,'パンツゲージ'!C:I,7,0)</f>
        <v>#N/A</v>
      </c>
    </row>
    <row r="18">
      <c r="A18" s="4" t="s">
        <v>14</v>
      </c>
      <c r="B18" s="10">
        <f>6.5979 + (0.0049*B2) + (0.1117*B3) + (0.0434*B4) + (0.0128*B5) + (0.0294*B6) + (-0.063*B7) + (-0.05*B8) + (0.1115*B9) + (0.4557*B10) + (0.21*B11) + (0.0158*B12) + (0.0375*B13) + (0.0081*B14)</f>
        <v>6.5979</v>
      </c>
      <c r="C18" s="5">
        <f>VLOOKUP(C17,'パンツゲージ'!C1:R31,3,0)</f>
        <v>92</v>
      </c>
      <c r="D18" s="11">
        <v>0.0</v>
      </c>
      <c r="E18" s="5">
        <f t="shared" ref="E18:E23" si="2">C18+D18</f>
        <v>92</v>
      </c>
    </row>
    <row r="19">
      <c r="A19" s="4" t="s">
        <v>23</v>
      </c>
      <c r="B19" s="10">
        <f>9.7012 + (0.0136*B2) + (0.0141*B3) + (0.0082*B4) + (0.0046*B5) + (-0.0066*B6) + (0.045*B7) + (-0.0085*B8) + (0.0208*B9) + (0.0394*B10) + (0.0374*B11) + (0.0155*B12) + (0.0065*B13) + (0.0019*B14)</f>
        <v>9.7012</v>
      </c>
      <c r="C19" s="5">
        <f>VLOOKUP(C17,'パンツゲージ'!C1:R31,5,0)</f>
        <v>23.5</v>
      </c>
      <c r="D19" s="5"/>
      <c r="E19" s="5">
        <f t="shared" si="2"/>
        <v>23.5</v>
      </c>
    </row>
    <row r="20">
      <c r="A20" s="4" t="s">
        <v>24</v>
      </c>
      <c r="B20" s="10">
        <f>-15.9887 + (0.4936*B2) + (-0.0463*B3) + (-0.0801*B4) + (-0.1339*B5) + (0.3228*B6) + (-0.1143*B7) + (-0.0207*B8) + (0.0151*B9) + (-0.0065*B10) + (-0.0332*B11) + (-0.0693*B12) + (-0.006*B13) + (0.0219*B14)</f>
        <v>-15.9887</v>
      </c>
      <c r="C20" s="5"/>
      <c r="D20" s="5"/>
      <c r="E20" s="5">
        <f t="shared" si="2"/>
        <v>0</v>
      </c>
    </row>
    <row r="21">
      <c r="A21" s="4" t="s">
        <v>25</v>
      </c>
      <c r="B21" s="10">
        <f>7.8622 + (-0.0006*B2) + (0.0453*B3) + (0.0051*B4) + (0.005*B5) + (0.0077*B6) + (0.0092*B7) + (-0.0114*B8) + (0.0223*B9) + (0.0883*B10) + (0.0838*B11) + (0.0496*B12) + (0.0286*B13) + (0.0386*B14)</f>
        <v>7.8622</v>
      </c>
      <c r="C21" s="5">
        <f>VLOOKUP(C17,'パンツゲージ'!C1:R31,8,0)</f>
        <v>36.5</v>
      </c>
      <c r="D21" s="11">
        <v>0.5</v>
      </c>
      <c r="E21" s="5">
        <f t="shared" si="2"/>
        <v>37</v>
      </c>
    </row>
    <row r="22" ht="15.75" customHeight="1">
      <c r="A22" s="4" t="s">
        <v>26</v>
      </c>
      <c r="B22" s="10">
        <f>7.3394 + (0.004*B2) + (0.0315*B3) + (-0.0058*B4) + (0.0091*B5) + (0.001*B6) + (0.0247*B7) + (-0.0065*B8) + (0.0094*B9) + (0.0473*B10) + (0.0389*B11) + (0.0122*B12) + (0.0266*B13) + (0.0709*B14)</f>
        <v>7.3394</v>
      </c>
      <c r="C22" s="5">
        <f>VLOOKUP(C17,'パンツゲージ'!C1:R31,11,0)</f>
        <v>25.5</v>
      </c>
      <c r="D22" s="5"/>
      <c r="E22" s="5">
        <f t="shared" si="2"/>
        <v>25.5</v>
      </c>
    </row>
    <row r="23" ht="15.75" customHeight="1">
      <c r="A23" s="4" t="s">
        <v>27</v>
      </c>
      <c r="B23" s="10">
        <f>7.2372 + (0.0048*B2) + (0.0181*B3) + (-0.0024*B4) + (0.0071*B5) + (0.0032*B6) + (0.049*B7) + (-0.0095*B8) + (0.0144*B9) + (0.0386*B10) + (0.0216*B11) + (-0.0082*B12) + (0.0123*B13) + (0.0674*B14)</f>
        <v>7.2372</v>
      </c>
      <c r="C23" s="5">
        <f>VLOOKUP(C17,'パンツゲージ'!C1:R31,14,0)</f>
        <v>20</v>
      </c>
      <c r="D23" s="5"/>
      <c r="E23" s="5">
        <f t="shared" si="2"/>
        <v>20</v>
      </c>
    </row>
    <row r="24" ht="15.75" customHeight="1">
      <c r="B24" s="10"/>
      <c r="C24" s="5"/>
      <c r="D24" s="5"/>
    </row>
    <row r="25">
      <c r="B25" s="6" t="str">
        <f t="array" ref="B25">INDEX('ジャケットゲージ'!B3:B100,
  MATCH(
    MIN(
      ABS('ジャケットゲージ'!E3:E100 - B26) +
      ABS('ジャケットゲージ'!C3:C100 - B27) +
      ABS('ジャケットゲージ'!D3:D100 - B28)
    ),
    ABS('ジャケットゲージ'!E3:E100 - B26) +
    ABS('ジャケットゲージ'!C3:C100 - B27) +
    ABS('ジャケットゲージ'!D3:D100 - B28),
    0
  )
)
</f>
        <v/>
      </c>
      <c r="C25" s="12" t="s">
        <v>28</v>
      </c>
      <c r="D25" s="5"/>
      <c r="E25" s="6">
        <f>VLOOKUP(C25,'ジャケットゲージ'!B:E,2,0)</f>
        <v>118</v>
      </c>
    </row>
    <row r="26" ht="15.75" customHeight="1">
      <c r="A26" s="4" t="s">
        <v>9</v>
      </c>
      <c r="B26" s="10">
        <f t="shared" ref="B26:C26" si="3">15.9424 + (-0.0068*B2) + (0.0367*B3) + (0.0248*B4) + (0.1742*B5) + (0.045*B6) + (0.0327*B7) + (0.1115*B8) + (0.0242*B9) + (0.014*B10) + (0.0099*B11) + (-0.0188*B12) + (0.0047*B13) + (-0.0025*B14)</f>
        <v>15.9424</v>
      </c>
      <c r="C26" s="10">
        <f t="shared" si="3"/>
        <v>34.6184918</v>
      </c>
      <c r="D26" s="5">
        <f t="shared" ref="D26:D30" si="4">C26-B26</f>
        <v>18.6760918</v>
      </c>
      <c r="E26" s="10">
        <f t="shared" ref="E26:E30" si="5">C26+D26</f>
        <v>53.2945836</v>
      </c>
    </row>
    <row r="27" ht="15.75" customHeight="1">
      <c r="A27" s="4" t="s">
        <v>12</v>
      </c>
      <c r="B27" s="10">
        <f>14.5312 + (0.0172*B2) + (0.0936*B3) + (0.0768*B4) + (0.3117*B5) + (0.1279*B6) + (0.1164*B7) + (0.466*B8) + (0.0608*B9) + (0.0468*B10) + (0.0456*B11) + (-0.0198*B12) + (0.0019*B13) + (0.0188*B14)</f>
        <v>14.5312</v>
      </c>
      <c r="C27" s="5">
        <f>VLOOKUP(C25,'ジャケットゲージ'!B9:R31,2,0)</f>
        <v>118</v>
      </c>
      <c r="D27" s="10">
        <f t="shared" si="4"/>
        <v>103.4688</v>
      </c>
      <c r="E27" s="5">
        <f t="shared" si="5"/>
        <v>221.4688</v>
      </c>
    </row>
    <row r="28" ht="15.75" customHeight="1">
      <c r="A28" s="4" t="s">
        <v>13</v>
      </c>
      <c r="B28" s="10">
        <f>9.3592 + (-0.045*B2) + (0.1483*B3) + (0.0787*B4) + (0.2348*B5) + (0.0898*B6) + (0.0452*B7) + (0.2946*B8) + (0.2541*B9) + (0.1478*B10) + (0.0585*B11) + (-0.0991*B12) + (-0.0129*B13) + (-0.0011*B14)</f>
        <v>9.3592</v>
      </c>
      <c r="C28" s="5">
        <f>VLOOKUP(C25,'ジャケットゲージ'!B9:R31,3,0)</f>
        <v>102</v>
      </c>
      <c r="D28" s="10">
        <f t="shared" si="4"/>
        <v>92.6408</v>
      </c>
      <c r="E28" s="5">
        <f t="shared" si="5"/>
        <v>194.6408</v>
      </c>
    </row>
    <row r="29" ht="15.75" customHeight="1">
      <c r="A29" s="4" t="s">
        <v>29</v>
      </c>
      <c r="B29" s="10">
        <f>0.9736 + (0.115*B2) + (-0.0041*B3) + (-0.021*B4) + (-0.0298*B5) + (0.5717*B6) + (0.003*B7) + (-0.0413*B8) + (-0.007*B9) + (0.011*B10) + (0.0012*B11) + (-0.0072*B12) + (-0.0231*B13) + (0.0048*B14)</f>
        <v>0.9736</v>
      </c>
      <c r="C29" s="5">
        <f>VLOOKUP(C25,'ジャケットゲージ'!B9:R31,6,0)</f>
        <v>64</v>
      </c>
      <c r="D29" s="5">
        <f t="shared" si="4"/>
        <v>63.0264</v>
      </c>
      <c r="E29" s="5">
        <f t="shared" si="5"/>
        <v>127.0264</v>
      </c>
    </row>
    <row r="30" ht="15.75" customHeight="1">
      <c r="A30" s="4" t="s">
        <v>30</v>
      </c>
      <c r="B30" s="10">
        <f>13.4215 + (0.2311*B2) + (0.0286*B3) + (0.0266*B4) + (0.0108*B5) + (0.0643*B6) + (0.118*B7) + (0.0041*B8) + (0.0199*B9) + (0.0176*B10) + (0.0172*B11) + (0.0172*B12) + (0.0147*B13) + (-0.0028*B14)</f>
        <v>13.4215</v>
      </c>
      <c r="C30" s="5">
        <f>VLOOKUP(C25,'ジャケットゲージ'!B9:R31,5,0)</f>
        <v>74</v>
      </c>
      <c r="D30" s="10">
        <f t="shared" si="4"/>
        <v>60.5785</v>
      </c>
      <c r="E30" s="5">
        <f t="shared" si="5"/>
        <v>134.5785</v>
      </c>
    </row>
    <row r="31" ht="15.75" customHeight="1">
      <c r="C31" s="5"/>
      <c r="D31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4" t="s">
        <v>31</v>
      </c>
    </row>
    <row r="19">
      <c r="C19" s="4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32</v>
      </c>
      <c r="B1" s="4" t="s">
        <v>33</v>
      </c>
      <c r="C1" s="4" t="s">
        <v>34</v>
      </c>
      <c r="D1" s="4" t="s">
        <v>15</v>
      </c>
      <c r="E1" s="4" t="s">
        <v>13</v>
      </c>
      <c r="G1" s="4" t="s">
        <v>23</v>
      </c>
      <c r="I1" s="4" t="s">
        <v>35</v>
      </c>
      <c r="J1" s="4" t="s">
        <v>36</v>
      </c>
      <c r="M1" s="4" t="s">
        <v>37</v>
      </c>
      <c r="P1" s="4" t="s">
        <v>38</v>
      </c>
    </row>
    <row r="2">
      <c r="D2" s="4" t="s">
        <v>39</v>
      </c>
      <c r="E2" s="4" t="s">
        <v>40</v>
      </c>
      <c r="F2" s="4" t="s">
        <v>41</v>
      </c>
      <c r="G2" s="4" t="s">
        <v>40</v>
      </c>
      <c r="H2" s="4" t="s">
        <v>41</v>
      </c>
      <c r="I2" s="4" t="s">
        <v>42</v>
      </c>
      <c r="J2" s="4" t="s">
        <v>42</v>
      </c>
      <c r="K2" s="4" t="s">
        <v>43</v>
      </c>
      <c r="L2" s="4" t="s">
        <v>44</v>
      </c>
      <c r="M2" s="4" t="s">
        <v>42</v>
      </c>
      <c r="N2" s="4" t="s">
        <v>43</v>
      </c>
      <c r="O2" s="4" t="s">
        <v>44</v>
      </c>
      <c r="P2" s="4" t="s">
        <v>42</v>
      </c>
      <c r="Q2" s="4" t="s">
        <v>43</v>
      </c>
      <c r="R2" s="4" t="s">
        <v>44</v>
      </c>
    </row>
    <row r="3">
      <c r="A3" s="4">
        <v>1.0</v>
      </c>
      <c r="B3" s="4" t="s">
        <v>45</v>
      </c>
      <c r="C3" s="4" t="s">
        <v>46</v>
      </c>
      <c r="D3" s="4">
        <v>79.0</v>
      </c>
      <c r="E3" s="4">
        <v>66.0</v>
      </c>
      <c r="F3" s="4" t="s">
        <v>47</v>
      </c>
      <c r="G3" s="4">
        <v>20.0</v>
      </c>
      <c r="H3" s="4" t="s">
        <v>48</v>
      </c>
      <c r="I3" s="4">
        <v>85.0</v>
      </c>
      <c r="J3" s="4">
        <v>28.0</v>
      </c>
      <c r="K3" s="4">
        <v>25.0</v>
      </c>
      <c r="L3" s="4">
        <v>31.0</v>
      </c>
      <c r="M3" s="4">
        <v>20.5</v>
      </c>
      <c r="N3" s="4">
        <v>19.0</v>
      </c>
      <c r="O3" s="4">
        <v>22.5</v>
      </c>
      <c r="P3" s="4">
        <v>17.0</v>
      </c>
      <c r="Q3" s="4">
        <v>15.5</v>
      </c>
      <c r="R3" s="4">
        <v>18.5</v>
      </c>
    </row>
    <row r="4">
      <c r="A4" s="4">
        <v>2.0</v>
      </c>
      <c r="B4" s="4" t="s">
        <v>45</v>
      </c>
      <c r="C4" s="4" t="s">
        <v>49</v>
      </c>
      <c r="D4" s="4">
        <v>81.0</v>
      </c>
      <c r="E4" s="4">
        <v>68.0</v>
      </c>
      <c r="F4" s="4" t="s">
        <v>50</v>
      </c>
      <c r="G4" s="4">
        <v>20.0</v>
      </c>
      <c r="H4" s="4" t="s">
        <v>48</v>
      </c>
      <c r="I4" s="4">
        <v>87.0</v>
      </c>
      <c r="J4" s="4">
        <v>28.5</v>
      </c>
      <c r="K4" s="4">
        <v>25.5</v>
      </c>
      <c r="L4" s="4">
        <v>31.5</v>
      </c>
      <c r="M4" s="4">
        <v>20.5</v>
      </c>
      <c r="N4" s="4">
        <v>19.0</v>
      </c>
      <c r="O4" s="4">
        <v>23.0</v>
      </c>
      <c r="P4" s="4">
        <v>17.0</v>
      </c>
      <c r="Q4" s="4">
        <v>15.5</v>
      </c>
      <c r="R4" s="4">
        <v>18.5</v>
      </c>
    </row>
    <row r="5">
      <c r="A5" s="4">
        <v>3.0</v>
      </c>
      <c r="B5" s="4" t="s">
        <v>45</v>
      </c>
      <c r="C5" s="4" t="s">
        <v>51</v>
      </c>
      <c r="D5" s="4">
        <v>83.0</v>
      </c>
      <c r="E5" s="4">
        <v>70.0</v>
      </c>
      <c r="F5" s="4" t="s">
        <v>52</v>
      </c>
      <c r="G5" s="4">
        <v>20.5</v>
      </c>
      <c r="H5" s="4" t="s">
        <v>53</v>
      </c>
      <c r="I5" s="4">
        <v>89.0</v>
      </c>
      <c r="J5" s="4">
        <v>29.0</v>
      </c>
      <c r="K5" s="4">
        <v>26.0</v>
      </c>
      <c r="L5" s="4">
        <v>32.0</v>
      </c>
      <c r="M5" s="4">
        <v>21.0</v>
      </c>
      <c r="N5" s="4">
        <v>19.5</v>
      </c>
      <c r="O5" s="4">
        <v>23.5</v>
      </c>
      <c r="P5" s="4">
        <v>17.5</v>
      </c>
      <c r="Q5" s="4">
        <v>16.0</v>
      </c>
      <c r="R5" s="4">
        <v>19.0</v>
      </c>
    </row>
    <row r="6">
      <c r="A6" s="4">
        <v>4.0</v>
      </c>
      <c r="B6" s="4" t="s">
        <v>45</v>
      </c>
      <c r="C6" s="4" t="s">
        <v>54</v>
      </c>
      <c r="D6" s="4">
        <v>84.0</v>
      </c>
      <c r="E6" s="4">
        <v>72.0</v>
      </c>
      <c r="F6" s="4" t="s">
        <v>55</v>
      </c>
      <c r="G6" s="4">
        <v>21.0</v>
      </c>
      <c r="H6" s="4" t="s">
        <v>56</v>
      </c>
      <c r="I6" s="4">
        <v>90.0</v>
      </c>
      <c r="J6" s="4">
        <v>29.5</v>
      </c>
      <c r="K6" s="4">
        <v>26.5</v>
      </c>
      <c r="L6" s="4">
        <v>32.5</v>
      </c>
      <c r="M6" s="4">
        <v>21.5</v>
      </c>
      <c r="N6" s="4">
        <v>20.0</v>
      </c>
      <c r="O6" s="4">
        <v>24.0</v>
      </c>
      <c r="P6" s="4">
        <v>17.5</v>
      </c>
      <c r="Q6" s="4">
        <v>16.0</v>
      </c>
      <c r="R6" s="4">
        <v>19.0</v>
      </c>
    </row>
    <row r="7">
      <c r="A7" s="4">
        <v>5.0</v>
      </c>
      <c r="B7" s="4" t="s">
        <v>45</v>
      </c>
      <c r="C7" s="4" t="s">
        <v>57</v>
      </c>
      <c r="D7" s="4">
        <v>87.0</v>
      </c>
      <c r="E7" s="4">
        <v>74.0</v>
      </c>
      <c r="F7" s="4" t="s">
        <v>58</v>
      </c>
      <c r="G7" s="4">
        <v>21.0</v>
      </c>
      <c r="H7" s="4" t="s">
        <v>56</v>
      </c>
      <c r="I7" s="4">
        <v>93.0</v>
      </c>
      <c r="J7" s="4">
        <v>30.5</v>
      </c>
      <c r="K7" s="4">
        <v>27.5</v>
      </c>
      <c r="L7" s="4">
        <v>33.5</v>
      </c>
      <c r="M7" s="4">
        <v>21.5</v>
      </c>
      <c r="N7" s="4">
        <v>20.0</v>
      </c>
      <c r="O7" s="4">
        <v>24.0</v>
      </c>
      <c r="P7" s="4">
        <v>18.0</v>
      </c>
      <c r="Q7" s="4">
        <v>16.5</v>
      </c>
      <c r="R7" s="4">
        <v>19.5</v>
      </c>
    </row>
    <row r="8">
      <c r="A8" s="4">
        <v>6.0</v>
      </c>
      <c r="B8" s="4" t="s">
        <v>45</v>
      </c>
      <c r="C8" s="4" t="s">
        <v>59</v>
      </c>
      <c r="D8" s="4">
        <v>89.0</v>
      </c>
      <c r="E8" s="4">
        <v>76.0</v>
      </c>
      <c r="F8" s="4" t="s">
        <v>60</v>
      </c>
      <c r="G8" s="4">
        <v>21.5</v>
      </c>
      <c r="H8" s="4" t="s">
        <v>61</v>
      </c>
      <c r="I8" s="4">
        <v>95.0</v>
      </c>
      <c r="J8" s="4">
        <v>31.0</v>
      </c>
      <c r="K8" s="4">
        <v>28.0</v>
      </c>
      <c r="L8" s="4">
        <v>34.0</v>
      </c>
      <c r="M8" s="4">
        <v>22.0</v>
      </c>
      <c r="N8" s="4">
        <v>20.5</v>
      </c>
      <c r="O8" s="4">
        <v>24.5</v>
      </c>
      <c r="P8" s="4">
        <v>18.0</v>
      </c>
      <c r="Q8" s="4">
        <v>16.5</v>
      </c>
      <c r="R8" s="4">
        <v>19.5</v>
      </c>
    </row>
    <row r="9">
      <c r="A9" s="4">
        <v>7.0</v>
      </c>
      <c r="B9" s="4" t="s">
        <v>45</v>
      </c>
      <c r="C9" s="4" t="s">
        <v>62</v>
      </c>
      <c r="D9" s="4">
        <v>92.0</v>
      </c>
      <c r="E9" s="4">
        <v>78.0</v>
      </c>
      <c r="F9" s="4" t="s">
        <v>63</v>
      </c>
      <c r="G9" s="4">
        <v>22.0</v>
      </c>
      <c r="H9" s="4" t="s">
        <v>64</v>
      </c>
      <c r="I9" s="4">
        <v>98.0</v>
      </c>
      <c r="J9" s="4">
        <v>32.0</v>
      </c>
      <c r="K9" s="4">
        <v>29.0</v>
      </c>
      <c r="L9" s="4">
        <v>35.0</v>
      </c>
      <c r="M9" s="4">
        <v>22.0</v>
      </c>
      <c r="N9" s="4">
        <v>20.5</v>
      </c>
      <c r="O9" s="4">
        <v>24.5</v>
      </c>
      <c r="P9" s="4">
        <v>18.5</v>
      </c>
      <c r="Q9" s="4">
        <v>17.0</v>
      </c>
      <c r="R9" s="4">
        <v>20.0</v>
      </c>
    </row>
    <row r="10">
      <c r="A10" s="4">
        <v>8.0</v>
      </c>
      <c r="B10" s="4" t="s">
        <v>45</v>
      </c>
      <c r="C10" s="4" t="s">
        <v>65</v>
      </c>
      <c r="D10" s="4">
        <v>94.0</v>
      </c>
      <c r="E10" s="4">
        <v>80.0</v>
      </c>
      <c r="F10" s="4" t="s">
        <v>66</v>
      </c>
      <c r="G10" s="4">
        <v>22.0</v>
      </c>
      <c r="H10" s="4" t="s">
        <v>64</v>
      </c>
      <c r="I10" s="4">
        <v>100.0</v>
      </c>
      <c r="J10" s="4">
        <v>32.5</v>
      </c>
      <c r="K10" s="4">
        <v>29.5</v>
      </c>
      <c r="L10" s="4">
        <v>35.5</v>
      </c>
      <c r="M10" s="4">
        <v>22.5</v>
      </c>
      <c r="N10" s="4">
        <v>21.0</v>
      </c>
      <c r="O10" s="4">
        <v>25.0</v>
      </c>
      <c r="P10" s="4">
        <v>18.5</v>
      </c>
      <c r="Q10" s="4">
        <v>17.0</v>
      </c>
      <c r="R10" s="4">
        <v>20.0</v>
      </c>
    </row>
    <row r="11">
      <c r="A11" s="4">
        <v>9.0</v>
      </c>
      <c r="B11" s="4" t="s">
        <v>45</v>
      </c>
      <c r="C11" s="4" t="s">
        <v>67</v>
      </c>
      <c r="D11" s="4">
        <v>95.0</v>
      </c>
      <c r="E11" s="4">
        <v>82.0</v>
      </c>
      <c r="F11" s="4" t="s">
        <v>68</v>
      </c>
      <c r="G11" s="4">
        <v>22.5</v>
      </c>
      <c r="H11" s="4" t="s">
        <v>69</v>
      </c>
      <c r="I11" s="4">
        <v>101.0</v>
      </c>
      <c r="J11" s="4">
        <v>33.0</v>
      </c>
      <c r="K11" s="4">
        <v>30.0</v>
      </c>
      <c r="L11" s="4">
        <v>36.0</v>
      </c>
      <c r="M11" s="4">
        <v>23.0</v>
      </c>
      <c r="N11" s="4">
        <v>21.5</v>
      </c>
      <c r="O11" s="4">
        <v>25.5</v>
      </c>
      <c r="P11" s="4">
        <v>19.0</v>
      </c>
      <c r="Q11" s="4">
        <v>17.5</v>
      </c>
      <c r="R11" s="4">
        <v>20.5</v>
      </c>
    </row>
    <row r="12">
      <c r="A12" s="4">
        <v>10.0</v>
      </c>
      <c r="B12" s="4" t="s">
        <v>45</v>
      </c>
      <c r="C12" s="4" t="s">
        <v>70</v>
      </c>
      <c r="D12" s="4">
        <v>98.0</v>
      </c>
      <c r="E12" s="4">
        <v>84.0</v>
      </c>
      <c r="F12" s="4" t="s">
        <v>71</v>
      </c>
      <c r="G12" s="4">
        <v>22.5</v>
      </c>
      <c r="H12" s="4" t="s">
        <v>69</v>
      </c>
      <c r="I12" s="4">
        <v>104.0</v>
      </c>
      <c r="J12" s="4">
        <v>34.0</v>
      </c>
      <c r="K12" s="4">
        <v>31.0</v>
      </c>
      <c r="L12" s="4">
        <v>37.0</v>
      </c>
      <c r="M12" s="4">
        <v>23.5</v>
      </c>
      <c r="N12" s="4">
        <v>22.0</v>
      </c>
      <c r="O12" s="4">
        <v>26.0</v>
      </c>
      <c r="P12" s="4">
        <v>19.0</v>
      </c>
      <c r="Q12" s="4">
        <v>17.5</v>
      </c>
      <c r="R12" s="4">
        <v>20.5</v>
      </c>
    </row>
    <row r="13">
      <c r="A13" s="4">
        <v>11.0</v>
      </c>
      <c r="B13" s="4" t="s">
        <v>45</v>
      </c>
      <c r="C13" s="4" t="s">
        <v>72</v>
      </c>
      <c r="D13" s="4">
        <v>100.0</v>
      </c>
      <c r="E13" s="4">
        <v>86.0</v>
      </c>
      <c r="F13" s="4" t="s">
        <v>73</v>
      </c>
      <c r="G13" s="4">
        <v>23.0</v>
      </c>
      <c r="H13" s="4" t="s">
        <v>74</v>
      </c>
      <c r="I13" s="4">
        <v>106.0</v>
      </c>
      <c r="J13" s="4">
        <v>34.5</v>
      </c>
      <c r="K13" s="4">
        <v>31.5</v>
      </c>
      <c r="L13" s="4">
        <v>37.5</v>
      </c>
      <c r="M13" s="4">
        <v>24.0</v>
      </c>
      <c r="N13" s="4">
        <v>22.5</v>
      </c>
      <c r="O13" s="4">
        <v>27.0</v>
      </c>
      <c r="P13" s="4">
        <v>19.5</v>
      </c>
      <c r="Q13" s="4">
        <v>18.0</v>
      </c>
      <c r="R13" s="4">
        <v>21.0</v>
      </c>
    </row>
    <row r="14">
      <c r="A14" s="4">
        <v>12.0</v>
      </c>
      <c r="B14" s="4" t="s">
        <v>45</v>
      </c>
      <c r="C14" s="4" t="s">
        <v>75</v>
      </c>
      <c r="D14" s="4">
        <v>103.0</v>
      </c>
      <c r="E14" s="4">
        <v>88.0</v>
      </c>
      <c r="F14" s="4" t="s">
        <v>76</v>
      </c>
      <c r="G14" s="4">
        <v>23.0</v>
      </c>
      <c r="H14" s="4" t="s">
        <v>74</v>
      </c>
      <c r="I14" s="4">
        <v>109.0</v>
      </c>
      <c r="J14" s="4">
        <v>35.5</v>
      </c>
      <c r="K14" s="4">
        <v>32.5</v>
      </c>
      <c r="L14" s="4">
        <v>38.5</v>
      </c>
      <c r="M14" s="4">
        <v>24.5</v>
      </c>
      <c r="N14" s="4">
        <v>22.5</v>
      </c>
      <c r="O14" s="4">
        <v>27.5</v>
      </c>
      <c r="P14" s="4">
        <v>19.5</v>
      </c>
      <c r="Q14" s="4">
        <v>17.5</v>
      </c>
      <c r="R14" s="4">
        <v>21.5</v>
      </c>
    </row>
    <row r="15">
      <c r="A15" s="4">
        <v>13.0</v>
      </c>
      <c r="B15" s="4" t="s">
        <v>45</v>
      </c>
      <c r="C15" s="4" t="s">
        <v>77</v>
      </c>
      <c r="D15" s="4">
        <v>104.0</v>
      </c>
      <c r="E15" s="4">
        <v>90.0</v>
      </c>
      <c r="F15" s="4" t="s">
        <v>78</v>
      </c>
      <c r="G15" s="4">
        <v>23.5</v>
      </c>
      <c r="H15" s="4" t="s">
        <v>79</v>
      </c>
      <c r="I15" s="4">
        <v>110.0</v>
      </c>
      <c r="J15" s="4">
        <v>36.0</v>
      </c>
      <c r="K15" s="4">
        <v>33.0</v>
      </c>
      <c r="L15" s="4">
        <v>39.0</v>
      </c>
      <c r="M15" s="4">
        <v>25.0</v>
      </c>
      <c r="N15" s="4">
        <v>23.0</v>
      </c>
      <c r="O15" s="4">
        <v>28.0</v>
      </c>
      <c r="P15" s="4">
        <v>20.0</v>
      </c>
      <c r="Q15" s="4">
        <v>18.0</v>
      </c>
      <c r="R15" s="4">
        <v>22.0</v>
      </c>
    </row>
    <row r="16">
      <c r="A16" s="4">
        <v>14.0</v>
      </c>
      <c r="B16" s="4" t="s">
        <v>45</v>
      </c>
      <c r="C16" s="4" t="s">
        <v>21</v>
      </c>
      <c r="D16" s="4">
        <v>106.0</v>
      </c>
      <c r="E16" s="4">
        <v>92.0</v>
      </c>
      <c r="F16" s="4" t="s">
        <v>80</v>
      </c>
      <c r="G16" s="4">
        <v>23.5</v>
      </c>
      <c r="H16" s="4" t="s">
        <v>79</v>
      </c>
      <c r="I16" s="4">
        <v>112.0</v>
      </c>
      <c r="J16" s="4">
        <v>36.5</v>
      </c>
      <c r="K16" s="4">
        <v>33.5</v>
      </c>
      <c r="L16" s="4">
        <v>39.5</v>
      </c>
      <c r="M16" s="4">
        <v>25.5</v>
      </c>
      <c r="N16" s="4">
        <v>23.5</v>
      </c>
      <c r="O16" s="4">
        <v>28.5</v>
      </c>
      <c r="P16" s="4">
        <v>20.0</v>
      </c>
      <c r="Q16" s="4">
        <v>18.0</v>
      </c>
      <c r="R16" s="4">
        <v>22.0</v>
      </c>
    </row>
    <row r="17">
      <c r="A17" s="4">
        <v>15.0</v>
      </c>
      <c r="B17" s="4" t="s">
        <v>45</v>
      </c>
      <c r="C17" s="4" t="s">
        <v>81</v>
      </c>
      <c r="D17" s="4">
        <v>109.0</v>
      </c>
      <c r="E17" s="4">
        <v>94.0</v>
      </c>
      <c r="F17" s="4" t="s">
        <v>82</v>
      </c>
      <c r="G17" s="4">
        <v>24.0</v>
      </c>
      <c r="H17" s="4" t="s">
        <v>83</v>
      </c>
      <c r="I17" s="4">
        <v>115.0</v>
      </c>
      <c r="J17" s="4">
        <v>37.5</v>
      </c>
      <c r="K17" s="4">
        <v>34.5</v>
      </c>
      <c r="L17" s="4">
        <v>40.5</v>
      </c>
      <c r="M17" s="4">
        <v>26.0</v>
      </c>
      <c r="N17" s="4">
        <v>24.0</v>
      </c>
      <c r="O17" s="4">
        <v>29.0</v>
      </c>
      <c r="P17" s="4">
        <v>20.5</v>
      </c>
      <c r="Q17" s="4">
        <v>18.5</v>
      </c>
      <c r="R17" s="4">
        <v>22.5</v>
      </c>
    </row>
    <row r="18">
      <c r="A18" s="4">
        <v>16.0</v>
      </c>
      <c r="B18" s="4" t="s">
        <v>45</v>
      </c>
      <c r="C18" s="4" t="s">
        <v>84</v>
      </c>
      <c r="D18" s="4">
        <v>111.0</v>
      </c>
      <c r="E18" s="4">
        <v>96.0</v>
      </c>
      <c r="F18" s="4" t="s">
        <v>85</v>
      </c>
      <c r="G18" s="4">
        <v>24.5</v>
      </c>
      <c r="H18" s="4" t="s">
        <v>86</v>
      </c>
      <c r="I18" s="4">
        <v>117.0</v>
      </c>
      <c r="J18" s="4">
        <v>38.0</v>
      </c>
      <c r="K18" s="4">
        <v>35.0</v>
      </c>
      <c r="L18" s="4">
        <v>41.0</v>
      </c>
      <c r="M18" s="4">
        <v>26.5</v>
      </c>
      <c r="N18" s="4">
        <v>24.5</v>
      </c>
      <c r="O18" s="4">
        <v>29.5</v>
      </c>
      <c r="P18" s="4">
        <v>21.0</v>
      </c>
      <c r="Q18" s="4">
        <v>19.0</v>
      </c>
      <c r="R18" s="4">
        <v>23.0</v>
      </c>
    </row>
    <row r="19">
      <c r="A19" s="4">
        <v>17.0</v>
      </c>
      <c r="B19" s="4" t="s">
        <v>45</v>
      </c>
      <c r="C19" s="4" t="s">
        <v>87</v>
      </c>
      <c r="D19" s="4">
        <v>113.0</v>
      </c>
      <c r="E19" s="4">
        <v>98.0</v>
      </c>
      <c r="F19" s="4" t="s">
        <v>88</v>
      </c>
      <c r="G19" s="4">
        <v>25.0</v>
      </c>
      <c r="H19" s="4" t="s">
        <v>89</v>
      </c>
      <c r="I19" s="4">
        <v>119.0</v>
      </c>
      <c r="J19" s="4">
        <v>39.0</v>
      </c>
      <c r="K19" s="4">
        <v>36.0</v>
      </c>
      <c r="L19" s="4">
        <v>42.0</v>
      </c>
      <c r="M19" s="4">
        <v>27.0</v>
      </c>
      <c r="N19" s="4">
        <v>25.0</v>
      </c>
      <c r="O19" s="4">
        <v>30.0</v>
      </c>
      <c r="P19" s="4">
        <v>21.0</v>
      </c>
      <c r="Q19" s="4">
        <v>19.0</v>
      </c>
      <c r="R19" s="4">
        <v>23.0</v>
      </c>
    </row>
    <row r="20">
      <c r="A20" s="4">
        <v>1.0</v>
      </c>
      <c r="B20" s="4" t="s">
        <v>45</v>
      </c>
      <c r="C20" s="4" t="s">
        <v>90</v>
      </c>
      <c r="D20" s="4">
        <v>94.0</v>
      </c>
      <c r="E20" s="4">
        <v>80.0</v>
      </c>
      <c r="F20" s="4" t="s">
        <v>66</v>
      </c>
      <c r="G20" s="4">
        <v>21.5</v>
      </c>
      <c r="H20" s="4" t="s">
        <v>61</v>
      </c>
      <c r="I20" s="4">
        <v>100.0</v>
      </c>
      <c r="J20" s="4">
        <v>31.5</v>
      </c>
      <c r="K20" s="4">
        <v>28.5</v>
      </c>
      <c r="L20" s="4">
        <v>34.5</v>
      </c>
      <c r="M20" s="4">
        <v>22.0</v>
      </c>
      <c r="N20" s="4">
        <v>20.5</v>
      </c>
      <c r="O20" s="4">
        <v>24.5</v>
      </c>
      <c r="P20" s="4">
        <v>18.5</v>
      </c>
      <c r="Q20" s="4">
        <v>17.0</v>
      </c>
      <c r="R20" s="4">
        <v>20.0</v>
      </c>
    </row>
    <row r="21">
      <c r="A21" s="4">
        <v>2.0</v>
      </c>
      <c r="B21" s="4" t="s">
        <v>45</v>
      </c>
      <c r="C21" s="4" t="s">
        <v>91</v>
      </c>
      <c r="D21" s="4">
        <v>96.0</v>
      </c>
      <c r="E21" s="4">
        <v>82.0</v>
      </c>
      <c r="F21" s="4" t="s">
        <v>68</v>
      </c>
      <c r="G21" s="4">
        <v>22.0</v>
      </c>
      <c r="H21" s="4" t="s">
        <v>64</v>
      </c>
      <c r="I21" s="4">
        <v>102.0</v>
      </c>
      <c r="J21" s="4">
        <v>32.0</v>
      </c>
      <c r="K21" s="4">
        <v>29.0</v>
      </c>
      <c r="L21" s="4">
        <v>35.0</v>
      </c>
      <c r="M21" s="4">
        <v>22.5</v>
      </c>
      <c r="N21" s="4">
        <v>21.0</v>
      </c>
      <c r="O21" s="4">
        <v>25.0</v>
      </c>
      <c r="P21" s="4">
        <v>18.5</v>
      </c>
      <c r="Q21" s="4">
        <v>17.0</v>
      </c>
      <c r="R21" s="4">
        <v>20.0</v>
      </c>
    </row>
    <row r="22">
      <c r="A22" s="4">
        <v>3.0</v>
      </c>
      <c r="B22" s="4" t="s">
        <v>45</v>
      </c>
      <c r="C22" s="4" t="s">
        <v>92</v>
      </c>
      <c r="D22" s="4">
        <v>99.0</v>
      </c>
      <c r="E22" s="4">
        <v>84.0</v>
      </c>
      <c r="F22" s="4" t="s">
        <v>71</v>
      </c>
      <c r="G22" s="4">
        <v>22.5</v>
      </c>
      <c r="H22" s="4" t="s">
        <v>69</v>
      </c>
      <c r="I22" s="4">
        <v>105.0</v>
      </c>
      <c r="J22" s="4">
        <v>33.0</v>
      </c>
      <c r="K22" s="4">
        <v>30.0</v>
      </c>
      <c r="L22" s="4">
        <v>36.0</v>
      </c>
      <c r="M22" s="4">
        <v>23.0</v>
      </c>
      <c r="N22" s="4">
        <v>21.5</v>
      </c>
      <c r="O22" s="4">
        <v>25.5</v>
      </c>
      <c r="P22" s="4">
        <v>19.0</v>
      </c>
      <c r="Q22" s="4">
        <v>17.5</v>
      </c>
      <c r="R22" s="4">
        <v>20.5</v>
      </c>
    </row>
    <row r="23">
      <c r="A23" s="4">
        <v>4.0</v>
      </c>
      <c r="B23" s="4" t="s">
        <v>45</v>
      </c>
      <c r="C23" s="4" t="s">
        <v>93</v>
      </c>
      <c r="D23" s="4">
        <v>101.0</v>
      </c>
      <c r="E23" s="4">
        <v>86.0</v>
      </c>
      <c r="F23" s="4" t="s">
        <v>73</v>
      </c>
      <c r="G23" s="4">
        <v>23.0</v>
      </c>
      <c r="H23" s="4" t="s">
        <v>74</v>
      </c>
      <c r="I23" s="4">
        <v>107.0</v>
      </c>
      <c r="J23" s="4">
        <v>33.5</v>
      </c>
      <c r="K23" s="4">
        <v>30.5</v>
      </c>
      <c r="L23" s="4">
        <v>36.5</v>
      </c>
      <c r="M23" s="4">
        <v>23.5</v>
      </c>
      <c r="N23" s="4">
        <v>22.0</v>
      </c>
      <c r="O23" s="4">
        <v>26.0</v>
      </c>
      <c r="P23" s="4">
        <v>19.0</v>
      </c>
      <c r="Q23" s="4">
        <v>18.0</v>
      </c>
      <c r="R23" s="4">
        <v>21.0</v>
      </c>
    </row>
    <row r="24">
      <c r="A24" s="4">
        <v>5.0</v>
      </c>
      <c r="B24" s="4" t="s">
        <v>45</v>
      </c>
      <c r="C24" s="4" t="s">
        <v>94</v>
      </c>
      <c r="D24" s="4">
        <v>103.0</v>
      </c>
      <c r="E24" s="4">
        <v>88.0</v>
      </c>
      <c r="F24" s="4" t="s">
        <v>76</v>
      </c>
      <c r="G24" s="4">
        <v>23.5</v>
      </c>
      <c r="H24" s="4" t="s">
        <v>79</v>
      </c>
      <c r="I24" s="4">
        <v>109.0</v>
      </c>
      <c r="J24" s="4">
        <v>34.0</v>
      </c>
      <c r="K24" s="4">
        <v>31.0</v>
      </c>
      <c r="L24" s="4">
        <v>37.0</v>
      </c>
      <c r="M24" s="4">
        <v>23.5</v>
      </c>
      <c r="N24" s="4">
        <v>22.0</v>
      </c>
      <c r="O24" s="4">
        <v>26.0</v>
      </c>
      <c r="P24" s="4">
        <v>19.5</v>
      </c>
      <c r="Q24" s="4">
        <v>18.0</v>
      </c>
      <c r="R24" s="4">
        <v>21.0</v>
      </c>
    </row>
    <row r="25">
      <c r="A25" s="4">
        <v>6.0</v>
      </c>
      <c r="B25" s="4" t="s">
        <v>45</v>
      </c>
      <c r="C25" s="4" t="s">
        <v>95</v>
      </c>
      <c r="D25" s="4">
        <v>105.0</v>
      </c>
      <c r="E25" s="4">
        <v>90.0</v>
      </c>
      <c r="F25" s="4" t="s">
        <v>78</v>
      </c>
      <c r="G25" s="4">
        <v>23.5</v>
      </c>
      <c r="H25" s="4" t="s">
        <v>79</v>
      </c>
      <c r="I25" s="4">
        <v>111.0</v>
      </c>
      <c r="J25" s="4">
        <v>35.0</v>
      </c>
      <c r="K25" s="4">
        <v>32.0</v>
      </c>
      <c r="L25" s="4">
        <v>38.0</v>
      </c>
      <c r="M25" s="4">
        <v>24.0</v>
      </c>
      <c r="N25" s="4">
        <v>22.5</v>
      </c>
      <c r="O25" s="4">
        <v>27.0</v>
      </c>
      <c r="P25" s="4">
        <v>20.0</v>
      </c>
      <c r="Q25" s="4">
        <v>18.5</v>
      </c>
      <c r="R25" s="4">
        <v>22.0</v>
      </c>
    </row>
    <row r="26">
      <c r="A26" s="4">
        <v>7.0</v>
      </c>
      <c r="B26" s="4" t="s">
        <v>45</v>
      </c>
      <c r="C26" s="4" t="s">
        <v>96</v>
      </c>
      <c r="D26" s="4">
        <v>107.0</v>
      </c>
      <c r="E26" s="4">
        <v>92.0</v>
      </c>
      <c r="F26" s="4" t="s">
        <v>80</v>
      </c>
      <c r="G26" s="4">
        <v>24.0</v>
      </c>
      <c r="H26" s="4" t="s">
        <v>83</v>
      </c>
      <c r="I26" s="4">
        <v>113.0</v>
      </c>
      <c r="J26" s="4">
        <v>35.5</v>
      </c>
      <c r="K26" s="4">
        <v>32.5</v>
      </c>
      <c r="L26" s="4">
        <v>38.5</v>
      </c>
      <c r="M26" s="4">
        <v>24.0</v>
      </c>
      <c r="N26" s="4">
        <v>22.0</v>
      </c>
      <c r="O26" s="4">
        <v>27.0</v>
      </c>
      <c r="P26" s="4">
        <v>20.0</v>
      </c>
      <c r="Q26" s="4">
        <v>18.0</v>
      </c>
      <c r="R26" s="4">
        <v>22.0</v>
      </c>
    </row>
    <row r="27">
      <c r="A27" s="4">
        <v>8.0</v>
      </c>
      <c r="B27" s="4" t="s">
        <v>45</v>
      </c>
      <c r="C27" s="4" t="s">
        <v>97</v>
      </c>
      <c r="D27" s="4">
        <v>110.0</v>
      </c>
      <c r="E27" s="4">
        <v>94.0</v>
      </c>
      <c r="F27" s="4" t="s">
        <v>82</v>
      </c>
      <c r="G27" s="4">
        <v>24.0</v>
      </c>
      <c r="H27" s="4" t="s">
        <v>83</v>
      </c>
      <c r="I27" s="4">
        <v>116.0</v>
      </c>
      <c r="J27" s="4">
        <v>36.5</v>
      </c>
      <c r="K27" s="4">
        <v>33.5</v>
      </c>
      <c r="L27" s="4">
        <v>39.5</v>
      </c>
      <c r="M27" s="4">
        <v>24.5</v>
      </c>
      <c r="N27" s="4">
        <v>22.5</v>
      </c>
      <c r="O27" s="4">
        <v>27.5</v>
      </c>
      <c r="P27" s="4">
        <v>20.5</v>
      </c>
      <c r="Q27" s="4">
        <v>18.5</v>
      </c>
      <c r="R27" s="4">
        <v>22.5</v>
      </c>
    </row>
    <row r="28">
      <c r="A28" s="4">
        <v>9.0</v>
      </c>
      <c r="B28" s="4" t="s">
        <v>45</v>
      </c>
      <c r="C28" s="4" t="s">
        <v>98</v>
      </c>
      <c r="D28" s="4">
        <v>112.0</v>
      </c>
      <c r="E28" s="4">
        <v>96.0</v>
      </c>
      <c r="F28" s="4" t="s">
        <v>85</v>
      </c>
      <c r="G28" s="4">
        <v>24.5</v>
      </c>
      <c r="H28" s="4" t="s">
        <v>86</v>
      </c>
      <c r="I28" s="4">
        <v>118.0</v>
      </c>
      <c r="J28" s="4">
        <v>37.0</v>
      </c>
      <c r="K28" s="4">
        <v>34.0</v>
      </c>
      <c r="L28" s="4">
        <v>40.0</v>
      </c>
      <c r="M28" s="4">
        <v>25.0</v>
      </c>
      <c r="N28" s="4">
        <v>23.0</v>
      </c>
      <c r="O28" s="4">
        <v>28.0</v>
      </c>
      <c r="P28" s="4">
        <v>20.5</v>
      </c>
      <c r="Q28" s="4">
        <v>19.0</v>
      </c>
      <c r="R28" s="4">
        <v>23.0</v>
      </c>
    </row>
    <row r="29">
      <c r="A29" s="4">
        <v>10.0</v>
      </c>
      <c r="B29" s="4" t="s">
        <v>45</v>
      </c>
      <c r="C29" s="4" t="s">
        <v>99</v>
      </c>
      <c r="D29" s="4">
        <v>113.0</v>
      </c>
      <c r="E29" s="4">
        <v>98.0</v>
      </c>
      <c r="F29" s="4" t="s">
        <v>88</v>
      </c>
      <c r="G29" s="4">
        <v>24.5</v>
      </c>
      <c r="H29" s="4" t="s">
        <v>86</v>
      </c>
      <c r="I29" s="4">
        <v>119.0</v>
      </c>
      <c r="J29" s="4">
        <v>37.5</v>
      </c>
      <c r="K29" s="4">
        <v>34.5</v>
      </c>
      <c r="L29" s="4">
        <v>40.5</v>
      </c>
      <c r="M29" s="4">
        <v>25.5</v>
      </c>
      <c r="N29" s="4">
        <v>23.5</v>
      </c>
      <c r="O29" s="4">
        <v>28.5</v>
      </c>
      <c r="P29" s="4">
        <v>21.5</v>
      </c>
      <c r="Q29" s="4">
        <v>19.0</v>
      </c>
      <c r="R29" s="4">
        <v>23.0</v>
      </c>
    </row>
    <row r="30">
      <c r="A30" s="4">
        <v>11.0</v>
      </c>
      <c r="B30" s="4" t="s">
        <v>45</v>
      </c>
      <c r="C30" s="4" t="s">
        <v>100</v>
      </c>
      <c r="D30" s="4">
        <v>116.0</v>
      </c>
      <c r="E30" s="4">
        <v>100.0</v>
      </c>
      <c r="F30" s="4" t="s">
        <v>101</v>
      </c>
      <c r="G30" s="4">
        <v>25.0</v>
      </c>
      <c r="H30" s="4" t="s">
        <v>89</v>
      </c>
      <c r="I30" s="4">
        <v>122.0</v>
      </c>
      <c r="J30" s="4">
        <v>38.5</v>
      </c>
      <c r="K30" s="4">
        <v>35.5</v>
      </c>
      <c r="L30" s="4">
        <v>41.5</v>
      </c>
      <c r="M30" s="4">
        <v>26.0</v>
      </c>
      <c r="N30" s="4">
        <v>24.0</v>
      </c>
      <c r="O30" s="4">
        <v>29.0</v>
      </c>
      <c r="P30" s="4">
        <v>22.0</v>
      </c>
      <c r="Q30" s="4">
        <v>19.5</v>
      </c>
      <c r="R30" s="4">
        <v>23.5</v>
      </c>
    </row>
    <row r="31">
      <c r="A31" s="4">
        <v>12.0</v>
      </c>
      <c r="B31" s="4" t="s">
        <v>45</v>
      </c>
      <c r="C31" s="4" t="s">
        <v>102</v>
      </c>
      <c r="D31" s="4">
        <v>118.0</v>
      </c>
      <c r="E31" s="4">
        <v>102.0</v>
      </c>
      <c r="F31" s="4" t="s">
        <v>103</v>
      </c>
      <c r="G31" s="4">
        <v>25.0</v>
      </c>
      <c r="H31" s="4" t="s">
        <v>89</v>
      </c>
      <c r="I31" s="4">
        <v>124.0</v>
      </c>
      <c r="J31" s="4">
        <v>39.0</v>
      </c>
      <c r="K31" s="4">
        <v>36.0</v>
      </c>
      <c r="L31" s="4">
        <v>42.0</v>
      </c>
      <c r="M31" s="4">
        <v>26.5</v>
      </c>
      <c r="N31" s="4">
        <v>24.5</v>
      </c>
      <c r="O31" s="4">
        <v>29.5</v>
      </c>
      <c r="P31" s="4">
        <v>22.0</v>
      </c>
      <c r="Q31" s="4">
        <v>19.5</v>
      </c>
      <c r="R31" s="4">
        <v>23.5</v>
      </c>
    </row>
    <row r="32">
      <c r="A32" s="4">
        <v>13.0</v>
      </c>
      <c r="B32" s="4" t="s">
        <v>45</v>
      </c>
      <c r="C32" s="4" t="s">
        <v>104</v>
      </c>
      <c r="D32" s="4">
        <v>121.0</v>
      </c>
      <c r="E32" s="4">
        <v>104.0</v>
      </c>
      <c r="F32" s="4" t="s">
        <v>105</v>
      </c>
      <c r="G32" s="4">
        <v>25.5</v>
      </c>
      <c r="H32" s="4" t="s">
        <v>106</v>
      </c>
      <c r="I32" s="4">
        <v>127.0</v>
      </c>
      <c r="J32" s="4">
        <v>40.0</v>
      </c>
      <c r="K32" s="4">
        <v>37.0</v>
      </c>
      <c r="L32" s="4">
        <v>43.0</v>
      </c>
      <c r="M32" s="4">
        <v>27.0</v>
      </c>
      <c r="N32" s="4">
        <v>25.0</v>
      </c>
      <c r="O32" s="4">
        <v>30.0</v>
      </c>
      <c r="P32" s="4">
        <v>22.5</v>
      </c>
      <c r="Q32" s="4">
        <v>20.0</v>
      </c>
      <c r="R32" s="4">
        <v>24.0</v>
      </c>
    </row>
    <row r="33">
      <c r="A33" s="4">
        <v>14.0</v>
      </c>
      <c r="B33" s="4" t="s">
        <v>45</v>
      </c>
      <c r="C33" s="4" t="s">
        <v>107</v>
      </c>
      <c r="D33" s="4">
        <v>122.0</v>
      </c>
      <c r="E33" s="4">
        <v>106.0</v>
      </c>
      <c r="F33" s="4" t="s">
        <v>108</v>
      </c>
      <c r="G33" s="4">
        <v>25.5</v>
      </c>
      <c r="H33" s="4" t="s">
        <v>106</v>
      </c>
      <c r="I33" s="4">
        <v>128.0</v>
      </c>
      <c r="J33" s="4">
        <v>40.5</v>
      </c>
      <c r="K33" s="4">
        <v>37.5</v>
      </c>
      <c r="L33" s="4">
        <v>43.5</v>
      </c>
      <c r="M33" s="4">
        <v>27.5</v>
      </c>
      <c r="N33" s="4">
        <v>25.5</v>
      </c>
      <c r="O33" s="4">
        <v>30.5</v>
      </c>
      <c r="P33" s="4">
        <v>22.5</v>
      </c>
      <c r="Q33" s="4">
        <v>20.0</v>
      </c>
      <c r="R33" s="4">
        <v>24.0</v>
      </c>
    </row>
    <row r="34">
      <c r="A34" s="4">
        <v>15.0</v>
      </c>
      <c r="B34" s="4" t="s">
        <v>45</v>
      </c>
      <c r="C34" s="4" t="s">
        <v>109</v>
      </c>
      <c r="D34" s="4">
        <v>124.0</v>
      </c>
      <c r="E34" s="4">
        <v>108.0</v>
      </c>
      <c r="F34" s="4" t="s">
        <v>110</v>
      </c>
      <c r="G34" s="4">
        <v>26.0</v>
      </c>
      <c r="H34" s="4" t="s">
        <v>111</v>
      </c>
      <c r="I34" s="4">
        <v>130.0</v>
      </c>
      <c r="J34" s="4">
        <v>41.0</v>
      </c>
      <c r="K34" s="4">
        <v>38.0</v>
      </c>
      <c r="L34" s="4">
        <v>44.0</v>
      </c>
      <c r="M34" s="4">
        <v>28.0</v>
      </c>
      <c r="N34" s="4">
        <v>26.0</v>
      </c>
      <c r="O34" s="4">
        <v>31.5</v>
      </c>
      <c r="P34" s="4">
        <v>23.0</v>
      </c>
      <c r="Q34" s="4">
        <v>20.5</v>
      </c>
      <c r="R34" s="4">
        <v>24.5</v>
      </c>
    </row>
    <row r="35">
      <c r="A35" s="4">
        <v>16.0</v>
      </c>
      <c r="B35" s="4" t="s">
        <v>45</v>
      </c>
      <c r="C35" s="4" t="s">
        <v>112</v>
      </c>
      <c r="D35" s="4">
        <v>127.0</v>
      </c>
      <c r="E35" s="4">
        <v>110.0</v>
      </c>
      <c r="F35" s="4" t="s">
        <v>113</v>
      </c>
      <c r="G35" s="4">
        <v>26.0</v>
      </c>
      <c r="H35" s="4" t="s">
        <v>111</v>
      </c>
      <c r="I35" s="4">
        <v>133.0</v>
      </c>
      <c r="J35" s="4">
        <v>42.0</v>
      </c>
      <c r="K35" s="4">
        <v>39.0</v>
      </c>
      <c r="L35" s="4">
        <v>45.0</v>
      </c>
      <c r="M35" s="4">
        <v>28.5</v>
      </c>
      <c r="N35" s="4">
        <v>26.5</v>
      </c>
      <c r="O35" s="4">
        <v>32.0</v>
      </c>
      <c r="P35" s="4">
        <v>23.5</v>
      </c>
      <c r="Q35" s="4">
        <v>21.0</v>
      </c>
      <c r="R35" s="4">
        <v>25.0</v>
      </c>
    </row>
    <row r="36">
      <c r="A36" s="4">
        <v>17.0</v>
      </c>
      <c r="B36" s="4" t="s">
        <v>45</v>
      </c>
      <c r="C36" s="4" t="s">
        <v>114</v>
      </c>
      <c r="D36" s="4">
        <v>129.0</v>
      </c>
      <c r="E36" s="4">
        <v>112.0</v>
      </c>
      <c r="F36" s="4" t="s">
        <v>115</v>
      </c>
      <c r="G36" s="4">
        <v>26.5</v>
      </c>
      <c r="H36" s="4" t="s">
        <v>116</v>
      </c>
      <c r="I36" s="4">
        <v>135.0</v>
      </c>
      <c r="J36" s="4">
        <v>42.5</v>
      </c>
      <c r="K36" s="4">
        <v>39.5</v>
      </c>
      <c r="L36" s="4">
        <v>45.5</v>
      </c>
      <c r="M36" s="4">
        <v>29.0</v>
      </c>
      <c r="N36" s="4">
        <v>27.0</v>
      </c>
      <c r="O36" s="4">
        <v>32.5</v>
      </c>
      <c r="P36" s="4">
        <v>24.0</v>
      </c>
      <c r="Q36" s="4">
        <v>21.0</v>
      </c>
      <c r="R36" s="4">
        <v>25.0</v>
      </c>
    </row>
    <row r="37">
      <c r="A37" s="4">
        <v>18.0</v>
      </c>
      <c r="B37" s="4" t="s">
        <v>45</v>
      </c>
      <c r="C37" s="4" t="s">
        <v>117</v>
      </c>
      <c r="D37" s="4">
        <v>131.0</v>
      </c>
      <c r="E37" s="4">
        <v>114.0</v>
      </c>
      <c r="F37" s="4" t="s">
        <v>118</v>
      </c>
      <c r="G37" s="4">
        <v>27.0</v>
      </c>
      <c r="H37" s="4" t="s">
        <v>119</v>
      </c>
      <c r="I37" s="4">
        <v>137.0</v>
      </c>
      <c r="J37" s="4">
        <v>43.5</v>
      </c>
      <c r="K37" s="4">
        <v>40.5</v>
      </c>
      <c r="L37" s="4">
        <v>46.5</v>
      </c>
      <c r="M37" s="4">
        <v>29.5</v>
      </c>
      <c r="N37" s="4">
        <v>27.5</v>
      </c>
      <c r="O37" s="4">
        <v>33.0</v>
      </c>
      <c r="P37" s="4">
        <v>24.5</v>
      </c>
      <c r="Q37" s="4">
        <v>21.5</v>
      </c>
      <c r="R37" s="4">
        <v>25.5</v>
      </c>
    </row>
    <row r="38">
      <c r="A38" s="4">
        <v>19.0</v>
      </c>
      <c r="B38" s="4" t="s">
        <v>45</v>
      </c>
      <c r="C38" s="4" t="s">
        <v>120</v>
      </c>
      <c r="D38" s="4">
        <v>133.0</v>
      </c>
      <c r="E38" s="4">
        <v>116.0</v>
      </c>
      <c r="F38" s="4" t="s">
        <v>121</v>
      </c>
      <c r="G38" s="4">
        <v>27.5</v>
      </c>
      <c r="H38" s="4" t="s">
        <v>122</v>
      </c>
      <c r="I38" s="4">
        <v>139.0</v>
      </c>
      <c r="J38" s="4">
        <v>44.0</v>
      </c>
      <c r="K38" s="4">
        <v>41.0</v>
      </c>
      <c r="L38" s="4">
        <v>47.0</v>
      </c>
      <c r="M38" s="4">
        <v>30.0</v>
      </c>
      <c r="N38" s="4">
        <v>28.0</v>
      </c>
      <c r="O38" s="4">
        <v>33.5</v>
      </c>
      <c r="P38" s="4">
        <v>24.5</v>
      </c>
      <c r="Q38" s="4">
        <v>21.5</v>
      </c>
      <c r="R38" s="4">
        <v>25.5</v>
      </c>
    </row>
    <row r="39">
      <c r="A39" s="4">
        <v>20.0</v>
      </c>
      <c r="B39" s="4" t="s">
        <v>45</v>
      </c>
      <c r="C39" s="4" t="s">
        <v>123</v>
      </c>
      <c r="D39" s="4">
        <v>135.0</v>
      </c>
      <c r="E39" s="4">
        <v>118.0</v>
      </c>
      <c r="F39" s="4" t="s">
        <v>124</v>
      </c>
      <c r="G39" s="4">
        <v>28.0</v>
      </c>
      <c r="H39" s="4" t="s">
        <v>125</v>
      </c>
      <c r="I39" s="4">
        <v>141.0</v>
      </c>
      <c r="J39" s="4">
        <v>44.5</v>
      </c>
      <c r="K39" s="4">
        <v>41.5</v>
      </c>
      <c r="L39" s="4">
        <v>47.5</v>
      </c>
      <c r="M39" s="4">
        <v>30.5</v>
      </c>
      <c r="N39" s="4">
        <v>28.5</v>
      </c>
      <c r="O39" s="4">
        <v>34.0</v>
      </c>
      <c r="P39" s="4">
        <v>25.0</v>
      </c>
      <c r="Q39" s="4">
        <v>22.0</v>
      </c>
      <c r="R39" s="4">
        <v>26.0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4" t="s">
        <v>126</v>
      </c>
      <c r="C1" s="4" t="s">
        <v>126</v>
      </c>
      <c r="D1" s="4" t="s">
        <v>126</v>
      </c>
      <c r="E1" s="4" t="s">
        <v>126</v>
      </c>
      <c r="F1" s="4" t="s">
        <v>126</v>
      </c>
      <c r="G1" s="4" t="s">
        <v>126</v>
      </c>
      <c r="H1" s="4" t="s">
        <v>126</v>
      </c>
    </row>
    <row r="2">
      <c r="A2" s="4" t="s">
        <v>127</v>
      </c>
      <c r="B2" s="4" t="s">
        <v>34</v>
      </c>
      <c r="C2" s="4" t="s">
        <v>128</v>
      </c>
      <c r="D2" s="4" t="s">
        <v>129</v>
      </c>
      <c r="E2" s="4" t="s">
        <v>130</v>
      </c>
      <c r="F2" s="4" t="s">
        <v>131</v>
      </c>
      <c r="G2" s="4" t="s">
        <v>132</v>
      </c>
      <c r="H2" s="4" t="s">
        <v>133</v>
      </c>
      <c r="I2" s="4" t="s">
        <v>134</v>
      </c>
      <c r="J2" s="4" t="s">
        <v>135</v>
      </c>
      <c r="K2" s="4" t="s">
        <v>136</v>
      </c>
    </row>
    <row r="3">
      <c r="A3" s="4">
        <v>1.0</v>
      </c>
      <c r="B3" s="12" t="s">
        <v>46</v>
      </c>
      <c r="C3" s="4">
        <v>90.0</v>
      </c>
      <c r="D3" s="4">
        <v>72.0</v>
      </c>
      <c r="E3" s="4">
        <v>39.0</v>
      </c>
      <c r="F3" s="4">
        <v>68.0</v>
      </c>
      <c r="G3" s="4">
        <v>58.0</v>
      </c>
      <c r="H3" s="4">
        <v>12.1</v>
      </c>
      <c r="I3" s="4">
        <v>7.0</v>
      </c>
      <c r="J3" s="4">
        <v>8.0</v>
      </c>
      <c r="K3" s="4">
        <v>6.0</v>
      </c>
    </row>
    <row r="4">
      <c r="A4" s="4">
        <v>2.0</v>
      </c>
      <c r="B4" s="12" t="s">
        <v>49</v>
      </c>
      <c r="C4" s="4">
        <v>92.0</v>
      </c>
      <c r="D4" s="4">
        <v>74.0</v>
      </c>
      <c r="E4" s="4">
        <v>39.5</v>
      </c>
      <c r="F4" s="4">
        <v>68.0</v>
      </c>
      <c r="G4" s="4">
        <v>58.0</v>
      </c>
      <c r="H4" s="4">
        <v>12.3</v>
      </c>
      <c r="I4" s="4">
        <v>7.0</v>
      </c>
      <c r="J4" s="4">
        <v>8.0</v>
      </c>
      <c r="K4" s="4">
        <v>6.0</v>
      </c>
    </row>
    <row r="5">
      <c r="A5" s="4">
        <v>3.0</v>
      </c>
      <c r="B5" s="12" t="s">
        <v>137</v>
      </c>
      <c r="C5" s="4">
        <v>94.0</v>
      </c>
      <c r="D5" s="4">
        <v>78.0</v>
      </c>
      <c r="E5" s="4">
        <v>39.5</v>
      </c>
      <c r="F5" s="4">
        <v>68.0</v>
      </c>
      <c r="G5" s="4">
        <v>58.0</v>
      </c>
      <c r="H5" s="4">
        <v>12.4</v>
      </c>
      <c r="I5" s="4">
        <v>7.0</v>
      </c>
      <c r="J5" s="4">
        <v>8.0</v>
      </c>
      <c r="K5" s="4">
        <v>6.0</v>
      </c>
    </row>
    <row r="6">
      <c r="A6" s="4">
        <v>4.0</v>
      </c>
      <c r="B6" s="12" t="s">
        <v>138</v>
      </c>
      <c r="C6" s="4">
        <v>96.0</v>
      </c>
      <c r="D6" s="4">
        <v>80.0</v>
      </c>
      <c r="E6" s="4">
        <v>40.0</v>
      </c>
      <c r="F6" s="4">
        <v>68.0</v>
      </c>
      <c r="G6" s="4">
        <v>58.0</v>
      </c>
      <c r="H6" s="4">
        <v>12.6</v>
      </c>
      <c r="I6" s="4">
        <v>7.0</v>
      </c>
      <c r="J6" s="4">
        <v>8.0</v>
      </c>
      <c r="K6" s="4">
        <v>6.0</v>
      </c>
    </row>
    <row r="7">
      <c r="A7" s="4">
        <v>5.0</v>
      </c>
      <c r="B7" s="12" t="s">
        <v>139</v>
      </c>
      <c r="C7" s="4">
        <v>98.0</v>
      </c>
      <c r="D7" s="4">
        <v>82.0</v>
      </c>
      <c r="E7" s="4">
        <v>40.5</v>
      </c>
      <c r="F7" s="4">
        <v>68.0</v>
      </c>
      <c r="G7" s="4">
        <v>58.0</v>
      </c>
      <c r="H7" s="4">
        <v>12.7</v>
      </c>
      <c r="I7" s="4">
        <v>7.0</v>
      </c>
      <c r="J7" s="4">
        <v>8.0</v>
      </c>
      <c r="K7" s="4">
        <v>6.0</v>
      </c>
    </row>
    <row r="8">
      <c r="A8" s="4">
        <v>6.0</v>
      </c>
      <c r="B8" s="12" t="s">
        <v>140</v>
      </c>
      <c r="C8" s="4">
        <v>100.0</v>
      </c>
      <c r="D8" s="4">
        <v>84.0</v>
      </c>
      <c r="E8" s="4">
        <v>41.0</v>
      </c>
      <c r="F8" s="4">
        <v>70.0</v>
      </c>
      <c r="G8" s="4">
        <v>60.0</v>
      </c>
      <c r="H8" s="4">
        <v>12.9</v>
      </c>
      <c r="I8" s="4">
        <v>7.0</v>
      </c>
      <c r="J8" s="4">
        <v>8.0</v>
      </c>
      <c r="K8" s="4">
        <v>6.0</v>
      </c>
    </row>
    <row r="9">
      <c r="A9" s="4">
        <v>7.0</v>
      </c>
      <c r="B9" s="12" t="s">
        <v>141</v>
      </c>
      <c r="C9" s="4">
        <v>102.0</v>
      </c>
      <c r="D9" s="4">
        <v>86.0</v>
      </c>
      <c r="E9" s="4">
        <v>41.5</v>
      </c>
      <c r="F9" s="4">
        <v>70.0</v>
      </c>
      <c r="G9" s="4">
        <v>60.0</v>
      </c>
      <c r="H9" s="4">
        <v>13.0</v>
      </c>
      <c r="I9" s="4">
        <v>7.5</v>
      </c>
      <c r="J9" s="4">
        <v>8.5</v>
      </c>
      <c r="K9" s="4">
        <v>6.5</v>
      </c>
    </row>
    <row r="10">
      <c r="A10" s="4">
        <v>8.0</v>
      </c>
      <c r="B10" s="12" t="s">
        <v>142</v>
      </c>
      <c r="C10" s="4">
        <v>104.0</v>
      </c>
      <c r="D10" s="4">
        <v>88.0</v>
      </c>
      <c r="E10" s="4">
        <v>42.0</v>
      </c>
      <c r="F10" s="4">
        <v>70.0</v>
      </c>
      <c r="G10" s="4">
        <v>60.0</v>
      </c>
      <c r="H10" s="4">
        <v>13.2</v>
      </c>
      <c r="I10" s="4">
        <v>7.5</v>
      </c>
      <c r="J10" s="4">
        <v>8.5</v>
      </c>
      <c r="K10" s="4">
        <v>6.5</v>
      </c>
    </row>
    <row r="11">
      <c r="A11" s="4">
        <v>9.0</v>
      </c>
      <c r="B11" s="12" t="s">
        <v>143</v>
      </c>
      <c r="C11" s="4">
        <v>106.0</v>
      </c>
      <c r="D11" s="4">
        <v>90.0</v>
      </c>
      <c r="E11" s="4">
        <v>42.5</v>
      </c>
      <c r="F11" s="4">
        <v>70.0</v>
      </c>
      <c r="G11" s="4">
        <v>60.0</v>
      </c>
      <c r="H11" s="4">
        <v>13.3</v>
      </c>
      <c r="I11" s="4">
        <v>8.0</v>
      </c>
      <c r="J11" s="4">
        <v>9.0</v>
      </c>
      <c r="K11" s="4">
        <v>7.0</v>
      </c>
    </row>
    <row r="12">
      <c r="A12" s="4">
        <v>10.0</v>
      </c>
      <c r="B12" s="12" t="s">
        <v>144</v>
      </c>
      <c r="C12" s="4">
        <v>108.0</v>
      </c>
      <c r="D12" s="4">
        <v>92.0</v>
      </c>
      <c r="E12" s="4">
        <v>43.0</v>
      </c>
      <c r="F12" s="4">
        <v>72.0</v>
      </c>
      <c r="G12" s="4">
        <v>62.0</v>
      </c>
      <c r="H12" s="4">
        <v>13.5</v>
      </c>
      <c r="I12" s="4">
        <v>8.0</v>
      </c>
      <c r="J12" s="4">
        <v>9.0</v>
      </c>
      <c r="K12" s="4">
        <v>7.0</v>
      </c>
    </row>
    <row r="13">
      <c r="A13" s="4">
        <v>11.0</v>
      </c>
      <c r="B13" s="12" t="s">
        <v>145</v>
      </c>
      <c r="C13" s="4">
        <v>110.0</v>
      </c>
      <c r="D13" s="4">
        <v>94.0</v>
      </c>
      <c r="E13" s="4">
        <v>43.5</v>
      </c>
      <c r="F13" s="4">
        <v>72.0</v>
      </c>
      <c r="G13" s="4">
        <v>62.0</v>
      </c>
      <c r="H13" s="4">
        <v>13.6</v>
      </c>
      <c r="I13" s="4">
        <v>8.0</v>
      </c>
      <c r="J13" s="4">
        <v>9.0</v>
      </c>
      <c r="K13" s="4">
        <v>7.0</v>
      </c>
    </row>
    <row r="14">
      <c r="A14" s="4">
        <v>12.0</v>
      </c>
      <c r="B14" s="12" t="s">
        <v>146</v>
      </c>
      <c r="C14" s="4">
        <v>112.0</v>
      </c>
      <c r="D14" s="4">
        <v>96.0</v>
      </c>
      <c r="E14" s="4">
        <v>44.0</v>
      </c>
      <c r="F14" s="4">
        <v>72.0</v>
      </c>
      <c r="G14" s="4">
        <v>62.0</v>
      </c>
      <c r="H14" s="4">
        <v>13.8</v>
      </c>
      <c r="I14" s="4">
        <v>8.0</v>
      </c>
      <c r="J14" s="4">
        <v>9.0</v>
      </c>
      <c r="K14" s="4">
        <v>7.0</v>
      </c>
    </row>
    <row r="15">
      <c r="A15" s="4">
        <v>13.0</v>
      </c>
      <c r="B15" s="12" t="s">
        <v>147</v>
      </c>
      <c r="C15" s="4">
        <v>114.0</v>
      </c>
      <c r="D15" s="4">
        <v>98.0</v>
      </c>
      <c r="E15" s="4">
        <v>44.5</v>
      </c>
      <c r="F15" s="4">
        <v>72.0</v>
      </c>
      <c r="G15" s="4">
        <v>62.0</v>
      </c>
      <c r="H15" s="4">
        <v>13.9</v>
      </c>
      <c r="I15" s="4">
        <v>8.5</v>
      </c>
      <c r="J15" s="4">
        <v>9.5</v>
      </c>
      <c r="K15" s="4">
        <v>7.0</v>
      </c>
    </row>
    <row r="16">
      <c r="A16" s="4">
        <v>14.0</v>
      </c>
      <c r="B16" s="12" t="s">
        <v>148</v>
      </c>
      <c r="C16" s="4">
        <v>116.0</v>
      </c>
      <c r="D16" s="4">
        <v>100.0</v>
      </c>
      <c r="E16" s="4">
        <v>45.5</v>
      </c>
      <c r="F16" s="4">
        <v>74.0</v>
      </c>
      <c r="G16" s="4">
        <v>64.0</v>
      </c>
      <c r="H16" s="4">
        <v>14.1</v>
      </c>
      <c r="I16" s="4">
        <v>8.5</v>
      </c>
      <c r="J16" s="4">
        <v>9.5</v>
      </c>
      <c r="K16" s="4">
        <v>7.0</v>
      </c>
    </row>
    <row r="17">
      <c r="A17" s="4">
        <v>15.0</v>
      </c>
      <c r="B17" s="12" t="s">
        <v>28</v>
      </c>
      <c r="C17" s="4">
        <v>118.0</v>
      </c>
      <c r="D17" s="4">
        <v>102.0</v>
      </c>
      <c r="E17" s="4">
        <v>46.0</v>
      </c>
      <c r="F17" s="4">
        <v>74.0</v>
      </c>
      <c r="G17" s="4">
        <v>64.0</v>
      </c>
      <c r="H17" s="4">
        <v>14.2</v>
      </c>
      <c r="I17" s="4">
        <v>8.5</v>
      </c>
      <c r="J17" s="4">
        <v>9.5</v>
      </c>
      <c r="K17" s="4">
        <v>7.0</v>
      </c>
    </row>
    <row r="18">
      <c r="A18" s="4">
        <v>16.0</v>
      </c>
      <c r="B18" s="12" t="s">
        <v>149</v>
      </c>
      <c r="C18" s="4">
        <v>120.0</v>
      </c>
      <c r="D18" s="4">
        <v>104.0</v>
      </c>
      <c r="E18" s="4">
        <v>46.5</v>
      </c>
      <c r="F18" s="4">
        <v>74.0</v>
      </c>
      <c r="G18" s="4">
        <v>64.0</v>
      </c>
      <c r="H18" s="4">
        <v>14.4</v>
      </c>
      <c r="I18" s="4">
        <v>8.5</v>
      </c>
      <c r="J18" s="4">
        <v>9.5</v>
      </c>
      <c r="K18" s="4">
        <v>7.0</v>
      </c>
    </row>
    <row r="19">
      <c r="A19" s="4">
        <v>17.0</v>
      </c>
      <c r="B19" s="12" t="s">
        <v>150</v>
      </c>
      <c r="C19" s="4">
        <v>122.0</v>
      </c>
      <c r="D19" s="4">
        <v>106.0</v>
      </c>
      <c r="E19" s="4">
        <v>47.0</v>
      </c>
      <c r="F19" s="4">
        <v>74.0</v>
      </c>
      <c r="G19" s="4">
        <v>64.0</v>
      </c>
      <c r="H19" s="4">
        <v>14.5</v>
      </c>
      <c r="I19" s="4">
        <v>9.0</v>
      </c>
      <c r="J19" s="4">
        <v>10.0</v>
      </c>
      <c r="K19" s="4">
        <v>7.5</v>
      </c>
    </row>
    <row r="20">
      <c r="A20" s="4">
        <v>18.0</v>
      </c>
      <c r="B20" s="12" t="s">
        <v>151</v>
      </c>
      <c r="C20" s="4">
        <v>101.0</v>
      </c>
      <c r="D20" s="4">
        <v>91.0</v>
      </c>
      <c r="E20" s="4">
        <v>43.0</v>
      </c>
      <c r="F20" s="4">
        <v>68.0</v>
      </c>
      <c r="G20" s="4">
        <v>58.0</v>
      </c>
      <c r="H20" s="4">
        <v>13.0</v>
      </c>
      <c r="I20" s="4">
        <v>7.5</v>
      </c>
      <c r="J20" s="4">
        <v>8.5</v>
      </c>
      <c r="K20" s="4">
        <v>6.5</v>
      </c>
    </row>
    <row r="21">
      <c r="A21" s="4">
        <v>19.0</v>
      </c>
      <c r="B21" s="12" t="s">
        <v>152</v>
      </c>
      <c r="C21" s="4">
        <v>103.0</v>
      </c>
      <c r="D21" s="4">
        <v>93.0</v>
      </c>
      <c r="E21" s="4">
        <v>43.5</v>
      </c>
      <c r="F21" s="4">
        <v>68.0</v>
      </c>
      <c r="G21" s="4">
        <v>58.0</v>
      </c>
      <c r="H21" s="4">
        <v>13.1</v>
      </c>
      <c r="I21" s="4">
        <v>7.5</v>
      </c>
      <c r="J21" s="4">
        <v>8.5</v>
      </c>
      <c r="K21" s="4">
        <v>6.5</v>
      </c>
    </row>
    <row r="22">
      <c r="A22" s="4">
        <v>20.0</v>
      </c>
      <c r="B22" s="12" t="s">
        <v>153</v>
      </c>
      <c r="C22" s="4">
        <v>105.0</v>
      </c>
      <c r="D22" s="4">
        <v>95.0</v>
      </c>
      <c r="E22" s="4">
        <v>44.0</v>
      </c>
      <c r="F22" s="4">
        <v>68.0</v>
      </c>
      <c r="G22" s="4">
        <v>58.0</v>
      </c>
      <c r="H22" s="4">
        <v>13.3</v>
      </c>
      <c r="I22" s="4">
        <v>7.5</v>
      </c>
      <c r="J22" s="4">
        <v>8.5</v>
      </c>
      <c r="K22" s="4">
        <v>6.5</v>
      </c>
    </row>
    <row r="23">
      <c r="A23" s="4">
        <v>21.0</v>
      </c>
      <c r="B23" s="12" t="s">
        <v>154</v>
      </c>
      <c r="C23" s="4">
        <v>107.0</v>
      </c>
      <c r="D23" s="4">
        <v>97.0</v>
      </c>
      <c r="E23" s="4">
        <v>44.5</v>
      </c>
      <c r="F23" s="4">
        <v>70.0</v>
      </c>
      <c r="G23" s="4">
        <v>60.0</v>
      </c>
      <c r="H23" s="4">
        <v>13.4</v>
      </c>
      <c r="I23" s="4">
        <v>7.5</v>
      </c>
      <c r="J23" s="4">
        <v>8.5</v>
      </c>
      <c r="K23" s="4">
        <v>6.5</v>
      </c>
    </row>
    <row r="24">
      <c r="A24" s="4">
        <v>22.0</v>
      </c>
      <c r="B24" s="12" t="s">
        <v>155</v>
      </c>
      <c r="C24" s="4">
        <v>109.0</v>
      </c>
      <c r="D24" s="4">
        <v>99.0</v>
      </c>
      <c r="E24" s="4">
        <v>45.0</v>
      </c>
      <c r="F24" s="4">
        <v>70.0</v>
      </c>
      <c r="G24" s="4">
        <v>60.0</v>
      </c>
      <c r="H24" s="4">
        <v>13.6</v>
      </c>
      <c r="I24" s="4">
        <v>8.0</v>
      </c>
      <c r="J24" s="4">
        <v>9.0</v>
      </c>
      <c r="K24" s="4">
        <v>7.0</v>
      </c>
    </row>
    <row r="25">
      <c r="A25" s="4">
        <v>23.0</v>
      </c>
      <c r="B25" s="12" t="s">
        <v>156</v>
      </c>
      <c r="C25" s="4">
        <v>111.0</v>
      </c>
      <c r="D25" s="4">
        <v>101.0</v>
      </c>
      <c r="E25" s="4">
        <v>45.5</v>
      </c>
      <c r="F25" s="4">
        <v>70.0</v>
      </c>
      <c r="G25" s="4">
        <v>60.0</v>
      </c>
      <c r="H25" s="4">
        <v>13.7</v>
      </c>
      <c r="I25" s="4">
        <v>8.0</v>
      </c>
      <c r="J25" s="4">
        <v>9.0</v>
      </c>
      <c r="K25" s="4">
        <v>7.0</v>
      </c>
    </row>
    <row r="26">
      <c r="A26" s="4">
        <v>24.0</v>
      </c>
      <c r="B26" s="12" t="s">
        <v>157</v>
      </c>
      <c r="C26" s="4">
        <v>113.0</v>
      </c>
      <c r="D26" s="4">
        <v>103.0</v>
      </c>
      <c r="E26" s="4">
        <v>46.0</v>
      </c>
      <c r="F26" s="4">
        <v>70.0</v>
      </c>
      <c r="G26" s="4">
        <v>60.0</v>
      </c>
      <c r="H26" s="4">
        <v>13.9</v>
      </c>
      <c r="I26" s="4">
        <v>8.5</v>
      </c>
      <c r="J26" s="4">
        <v>9.5</v>
      </c>
      <c r="K26" s="4">
        <v>7.0</v>
      </c>
    </row>
    <row r="27">
      <c r="A27" s="4">
        <v>25.0</v>
      </c>
      <c r="B27" s="12" t="s">
        <v>158</v>
      </c>
      <c r="C27" s="4">
        <v>115.0</v>
      </c>
      <c r="D27" s="4">
        <v>105.0</v>
      </c>
      <c r="E27" s="4">
        <v>46.5</v>
      </c>
      <c r="F27" s="4">
        <v>72.0</v>
      </c>
      <c r="G27" s="4">
        <v>62.0</v>
      </c>
      <c r="H27" s="4">
        <v>14.0</v>
      </c>
      <c r="I27" s="4">
        <v>8.5</v>
      </c>
      <c r="J27" s="4">
        <v>9.5</v>
      </c>
      <c r="K27" s="4">
        <v>7.0</v>
      </c>
    </row>
    <row r="28">
      <c r="A28" s="4">
        <v>26.0</v>
      </c>
      <c r="B28" s="12" t="s">
        <v>159</v>
      </c>
      <c r="C28" s="4">
        <v>117.0</v>
      </c>
      <c r="D28" s="4">
        <v>107.0</v>
      </c>
      <c r="E28" s="4">
        <v>47.0</v>
      </c>
      <c r="F28" s="4">
        <v>72.0</v>
      </c>
      <c r="G28" s="4">
        <v>62.0</v>
      </c>
      <c r="H28" s="4">
        <v>14.2</v>
      </c>
      <c r="I28" s="4">
        <v>8.5</v>
      </c>
      <c r="J28" s="4">
        <v>9.5</v>
      </c>
      <c r="K28" s="4">
        <v>7.0</v>
      </c>
    </row>
    <row r="29">
      <c r="A29" s="4">
        <v>27.0</v>
      </c>
      <c r="B29" s="12" t="s">
        <v>160</v>
      </c>
      <c r="C29" s="4">
        <v>119.0</v>
      </c>
      <c r="D29" s="4">
        <v>109.0</v>
      </c>
      <c r="E29" s="4">
        <v>47.5</v>
      </c>
      <c r="F29" s="4">
        <v>72.0</v>
      </c>
      <c r="G29" s="4">
        <v>62.0</v>
      </c>
      <c r="H29" s="4">
        <v>14.3</v>
      </c>
      <c r="I29" s="4">
        <v>8.5</v>
      </c>
      <c r="J29" s="4">
        <v>9.5</v>
      </c>
      <c r="K29" s="4">
        <v>7.0</v>
      </c>
    </row>
    <row r="30">
      <c r="A30" s="4">
        <v>28.0</v>
      </c>
      <c r="B30" s="12" t="s">
        <v>161</v>
      </c>
      <c r="C30" s="4">
        <v>121.0</v>
      </c>
      <c r="D30" s="4">
        <v>111.0</v>
      </c>
      <c r="E30" s="4">
        <v>48.0</v>
      </c>
      <c r="F30" s="4">
        <v>72.0</v>
      </c>
      <c r="G30" s="4">
        <v>62.0</v>
      </c>
      <c r="H30" s="4">
        <v>14.5</v>
      </c>
      <c r="I30" s="4">
        <v>9.0</v>
      </c>
      <c r="J30" s="4">
        <v>10.0</v>
      </c>
      <c r="K30" s="4">
        <v>7.5</v>
      </c>
    </row>
    <row r="31">
      <c r="A31" s="4">
        <v>29.0</v>
      </c>
      <c r="B31" s="12" t="s">
        <v>162</v>
      </c>
      <c r="C31" s="4">
        <v>123.0</v>
      </c>
      <c r="D31" s="4">
        <v>113.0</v>
      </c>
      <c r="E31" s="4">
        <v>48.5</v>
      </c>
      <c r="F31" s="4">
        <v>74.0</v>
      </c>
      <c r="G31" s="4">
        <v>64.0</v>
      </c>
      <c r="H31" s="4">
        <v>14.6</v>
      </c>
      <c r="I31" s="4">
        <v>9.0</v>
      </c>
      <c r="J31" s="4">
        <v>10.0</v>
      </c>
      <c r="K31" s="4">
        <v>7.5</v>
      </c>
    </row>
    <row r="32">
      <c r="A32" s="4">
        <v>30.0</v>
      </c>
      <c r="B32" s="12" t="s">
        <v>163</v>
      </c>
      <c r="C32" s="4">
        <v>125.0</v>
      </c>
      <c r="D32" s="4">
        <v>115.0</v>
      </c>
      <c r="E32" s="4">
        <v>49.0</v>
      </c>
      <c r="F32" s="4">
        <v>74.0</v>
      </c>
      <c r="G32" s="4">
        <v>64.0</v>
      </c>
      <c r="H32" s="4">
        <v>14.8</v>
      </c>
      <c r="I32" s="4">
        <v>9.0</v>
      </c>
      <c r="J32" s="4">
        <v>10.0</v>
      </c>
      <c r="K32" s="4">
        <v>7.5</v>
      </c>
    </row>
    <row r="33">
      <c r="A33" s="4">
        <v>31.0</v>
      </c>
      <c r="B33" s="12" t="s">
        <v>164</v>
      </c>
      <c r="C33" s="4">
        <v>127.0</v>
      </c>
      <c r="D33" s="4">
        <v>117.0</v>
      </c>
      <c r="E33" s="4">
        <v>49.5</v>
      </c>
      <c r="F33" s="4">
        <v>74.0</v>
      </c>
      <c r="G33" s="4">
        <v>64.0</v>
      </c>
      <c r="H33" s="4">
        <v>14.9</v>
      </c>
      <c r="I33" s="4">
        <v>9.0</v>
      </c>
      <c r="J33" s="4">
        <v>10.0</v>
      </c>
      <c r="K33" s="4">
        <v>7.5</v>
      </c>
    </row>
    <row r="34">
      <c r="A34" s="4">
        <v>32.0</v>
      </c>
      <c r="B34" s="12" t="s">
        <v>165</v>
      </c>
      <c r="C34" s="4">
        <v>129.0</v>
      </c>
      <c r="D34" s="4">
        <v>119.0</v>
      </c>
      <c r="E34" s="4">
        <v>50.5</v>
      </c>
      <c r="F34" s="4">
        <v>74.0</v>
      </c>
      <c r="G34" s="4">
        <v>64.0</v>
      </c>
      <c r="H34" s="4">
        <v>15.1</v>
      </c>
      <c r="I34" s="4">
        <v>9.5</v>
      </c>
      <c r="J34" s="4">
        <v>10.5</v>
      </c>
      <c r="K34" s="4">
        <v>8.0</v>
      </c>
    </row>
    <row r="35">
      <c r="A35" s="4">
        <v>33.0</v>
      </c>
      <c r="B35" s="12" t="s">
        <v>109</v>
      </c>
      <c r="C35" s="4">
        <v>131.0</v>
      </c>
      <c r="D35" s="4">
        <v>125.0</v>
      </c>
      <c r="E35" s="4">
        <v>51.0</v>
      </c>
      <c r="F35" s="4">
        <v>74.0</v>
      </c>
      <c r="G35" s="4">
        <v>64.0</v>
      </c>
      <c r="H35" s="4">
        <v>15.2</v>
      </c>
      <c r="I35" s="4">
        <v>9.0</v>
      </c>
      <c r="J35" s="4">
        <v>10.0</v>
      </c>
      <c r="K35" s="4">
        <v>7.5</v>
      </c>
    </row>
    <row r="36">
      <c r="A36" s="4">
        <v>34.0</v>
      </c>
      <c r="B36" s="12" t="s">
        <v>114</v>
      </c>
      <c r="C36" s="4">
        <v>135.0</v>
      </c>
      <c r="D36" s="4">
        <v>129.0</v>
      </c>
      <c r="E36" s="4">
        <v>52.0</v>
      </c>
      <c r="F36" s="4">
        <v>76.0</v>
      </c>
      <c r="G36" s="4">
        <v>64.0</v>
      </c>
      <c r="H36" s="4">
        <v>15.5</v>
      </c>
      <c r="I36" s="4">
        <v>9.5</v>
      </c>
      <c r="J36" s="4">
        <v>10.5</v>
      </c>
      <c r="K36" s="4">
        <v>8.0</v>
      </c>
    </row>
    <row r="37">
      <c r="A37" s="4">
        <v>35.0</v>
      </c>
      <c r="B37" s="12" t="s">
        <v>166</v>
      </c>
      <c r="C37" s="4">
        <v>145.0</v>
      </c>
      <c r="D37" s="4">
        <v>139.0</v>
      </c>
      <c r="E37" s="4">
        <v>53.5</v>
      </c>
      <c r="F37" s="4">
        <v>76.0</v>
      </c>
      <c r="G37" s="4">
        <v>64.0</v>
      </c>
      <c r="H37" s="4">
        <v>16.3</v>
      </c>
      <c r="I37" s="4">
        <v>10.5</v>
      </c>
      <c r="J37" s="4">
        <v>11.5</v>
      </c>
      <c r="K37" s="4">
        <v>9.0</v>
      </c>
    </row>
  </sheetData>
  <drawing r:id="rId1"/>
</worksheet>
</file>